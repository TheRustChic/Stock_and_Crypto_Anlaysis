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mpactbious-my.sharepoint.com/personal/hmackey_immpact-bio_com/Documents/Desktop/HM/Private/Projects4/"/>
    </mc:Choice>
  </mc:AlternateContent>
  <xr:revisionPtr revIDLastSave="158" documentId="8_{ED0DE16A-6851-4972-A83F-3293296F6E9E}" xr6:coauthVersionLast="47" xr6:coauthVersionMax="47" xr10:uidLastSave="{693A520B-4786-4B9C-9A27-D06281E22D3E}"/>
  <bookViews>
    <workbookView xWindow="10" yWindow="10" windowWidth="19180" windowHeight="10060" activeTab="3" xr2:uid="{4190FA12-0707-4DCE-854A-D850B59FE245}"/>
  </bookViews>
  <sheets>
    <sheet name="Tesla" sheetId="4" r:id="rId1"/>
    <sheet name="Apple" sheetId="3" r:id="rId2"/>
    <sheet name="btc-usd-max" sheetId="5" r:id="rId3"/>
    <sheet name="eth-usd-max" sheetId="6" r:id="rId4"/>
    <sheet name="Dashboard" sheetId="7" r:id="rId5"/>
  </sheets>
  <definedNames>
    <definedName name="ExternalData_1" localSheetId="1" hidden="1">Apple!$A$1:$F$251</definedName>
    <definedName name="ExternalData_1" localSheetId="2" hidden="1">'btc-usd-max'!$A$1:$D$364</definedName>
    <definedName name="ExternalData_1" localSheetId="3" hidden="1">'eth-usd-max'!$A$1:$D$364</definedName>
    <definedName name="ExternalData_1" localSheetId="0" hidden="1">Tesla!$A$1:$F$251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E10" i="7"/>
  <c r="D10" i="7"/>
  <c r="C10" i="7"/>
  <c r="B10" i="7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F370" i="6"/>
  <c r="F368" i="6"/>
  <c r="F369" i="6"/>
  <c r="F367" i="6"/>
  <c r="F366" i="6"/>
  <c r="F370" i="5"/>
  <c r="F369" i="5"/>
  <c r="F368" i="5"/>
  <c r="F367" i="5"/>
  <c r="F366" i="5"/>
  <c r="I256" i="3"/>
  <c r="I255" i="3"/>
  <c r="I254" i="3"/>
  <c r="I253" i="3"/>
  <c r="I252" i="3"/>
  <c r="I256" i="4"/>
  <c r="I255" i="4"/>
  <c r="I254" i="4"/>
  <c r="I253" i="4"/>
  <c r="I25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B0137A-D1B2-45A5-96D5-1E59DDE0EE09}" keepAlive="1" name="Query - btc-usd-max" description="Connection to the 'btc-usd-max' query in the workbook." type="5" refreshedVersion="8" background="1" saveData="1">
    <dbPr connection="Provider=Microsoft.Mashup.OleDb.1;Data Source=$Workbook$;Location=btc-usd-max;Extended Properties=&quot;&quot;" command="SELECT * FROM [btc-usd-max]"/>
  </connection>
  <connection id="2" xr16:uid="{2D4A6123-8B7E-4D1C-8852-C8D0D949A1A3}" keepAlive="1" name="Query - eth-usd-max" description="Connection to the 'eth-usd-max' query in the workbook." type="5" refreshedVersion="8" background="1" saveData="1">
    <dbPr connection="Provider=Microsoft.Mashup.OleDb.1;Data Source=$Workbook$;Location=eth-usd-max;Extended Properties=&quot;&quot;" command="SELECT * FROM [eth-usd-max]"/>
  </connection>
  <connection id="3" xr16:uid="{3CF8A5C5-3C29-4A22-967E-4D963890F6F3}" keepAlive="1" name="Query - query?function=TIME_SERIES_DAILY&amp;symbol=AAPL&amp;outputsize=compact&amp;apikey=GZI7H5RJG" description="Connection to the 'query?function=TIME_SERIES_DAILY&amp;symbol=AAPL&amp;outputsize=compact&amp;apikey=GZI7H5RJG' query in the workbook." type="5" refreshedVersion="0" background="1">
    <dbPr connection="Provider=Microsoft.Mashup.OleDb.1;Data Source=$Workbook$;Location=&quot;query?function=TIME_SERIES_DAILY&amp;symbol=AAPL&amp;outputsize=compact&amp;apikey=GZI7H5RJG&quot;;Extended Properties=&quot;&quot;" command="SELECT * FROM [query?function=TIME_SERIES_DAILY&amp;symbol=AAPL&amp;outputsize=compact&amp;apikey=GZI7H5RJG]"/>
  </connection>
  <connection id="4" xr16:uid="{3E765A61-C41E-4B9B-A37E-49291CDCF37D}" keepAlive="1" name="Query - query?function=TIME_SERIES_DAILY&amp;symbol=AAPL&amp;outputsize=full&amp;apikey=GZI7H5RJGQTL" description="Connection to the 'query?function=TIME_SERIES_DAILY&amp;symbol=AAPL&amp;outputsize=full&amp;apikey=GZI7H5RJGQTL' query in the workbook." type="5" refreshedVersion="8" background="1" saveData="1">
    <dbPr connection="Provider=Microsoft.Mashup.OleDb.1;Data Source=$Workbook$;Location=&quot;query?function=TIME_SERIES_DAILY&amp;symbol=AAPL&amp;outputsize=full&amp;apikey=GZI7H5RJGQTL&quot;;Extended Properties=&quot;&quot;" command="SELECT * FROM [query?function=TIME_SERIES_DAILY&amp;symbol=AAPL&amp;outputsize=full&amp;apikey=GZI7H5RJGQTL]"/>
  </connection>
  <connection id="5" xr16:uid="{EEC52E6C-EB5B-4970-BE43-6381CC8B4277}" keepAlive="1" name="Query - query?function=TIME_SERIES_DAILY&amp;symbol=TSLA&amp;outputsize=full&amp;apikey=GZI7H5RJGQTL" description="Connection to the 'query?function=TIME_SERIES_DAILY&amp;symbol=TSLA&amp;outputsize=full&amp;apikey=GZI7H5RJGQTL' query in the workbook." type="5" refreshedVersion="8" background="1" saveData="1">
    <dbPr connection="Provider=Microsoft.Mashup.OleDb.1;Data Source=$Workbook$;Location=&quot;query?function=TIME_SERIES_DAILY&amp;symbol=TSLA&amp;outputsize=full&amp;apikey=GZI7H5RJGQTL&quot;;Extended Properties=&quot;&quot;" command="SELECT * FROM [query?function=TIME_SERIES_DAILY&amp;symbol=TSLA&amp;outputsize=full&amp;apikey=GZI7H5RJGQTL]"/>
  </connection>
</connections>
</file>

<file path=xl/sharedStrings.xml><?xml version="1.0" encoding="utf-8"?>
<sst xmlns="http://schemas.openxmlformats.org/spreadsheetml/2006/main" count="777" uniqueCount="387">
  <si>
    <t>open</t>
  </si>
  <si>
    <t>high</t>
  </si>
  <si>
    <t>low</t>
  </si>
  <si>
    <t>close</t>
  </si>
  <si>
    <t>volume</t>
  </si>
  <si>
    <t>total_volume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</si>
  <si>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</si>
  <si>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</si>
  <si>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</si>
  <si>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</si>
  <si>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</si>
  <si>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</si>
  <si>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</si>
  <si>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</si>
  <si>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</si>
  <si>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</si>
  <si>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</si>
  <si>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</si>
  <si>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</si>
  <si>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</si>
  <si>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</si>
  <si>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</si>
  <si>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</si>
  <si>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</si>
  <si>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</si>
  <si>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</si>
  <si>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</si>
  <si>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</si>
  <si>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</si>
  <si>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</si>
  <si>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</si>
  <si>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</si>
  <si>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</si>
  <si>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</si>
  <si>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</si>
  <si>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</si>
  <si>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</si>
  <si>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</si>
  <si>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</si>
  <si>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</si>
  <si>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</si>
  <si>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</si>
  <si>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</si>
  <si>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</si>
  <si>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</si>
  <si>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</si>
  <si>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</si>
  <si>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</si>
  <si>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</si>
  <si>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</si>
  <si>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</si>
  <si>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</si>
  <si>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</si>
  <si>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</si>
  <si>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</si>
  <si>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</si>
  <si>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</si>
  <si>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</si>
  <si>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</si>
  <si>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</si>
  <si>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</si>
  <si>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</si>
  <si>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</si>
  <si>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</si>
  <si>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</si>
  <si>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</si>
  <si>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</si>
  <si>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</si>
  <si>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</si>
  <si>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</si>
  <si>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</si>
  <si>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</si>
  <si>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</si>
  <si>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</si>
  <si>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</si>
  <si>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</si>
  <si>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</si>
  <si>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</si>
  <si>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</si>
  <si>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</si>
  <si>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</si>
  <si>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</si>
  <si>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</si>
  <si>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</si>
  <si>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</si>
  <si>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</si>
  <si>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</si>
  <si>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</si>
  <si>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</si>
  <si>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</si>
  <si>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</si>
  <si>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</si>
  <si>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</si>
  <si>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</si>
  <si>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</si>
  <si>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</si>
  <si>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</si>
  <si>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</si>
  <si>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</si>
  <si>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</si>
  <si>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</si>
  <si>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</si>
  <si>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</si>
  <si>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</si>
  <si>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</si>
  <si>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</si>
  <si>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</si>
  <si>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</si>
  <si>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</si>
  <si>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</si>
  <si>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</si>
  <si>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</si>
  <si>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</si>
  <si>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</si>
  <si>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</si>
  <si>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</si>
  <si>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</si>
  <si>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</si>
  <si>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</si>
  <si>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</si>
  <si>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</si>
  <si>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</si>
  <si>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</si>
  <si>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</si>
  <si>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</si>
  <si>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</si>
  <si>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</si>
  <si>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</si>
  <si>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</si>
  <si>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</si>
  <si>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</si>
  <si>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</si>
  <si>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</si>
  <si>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</si>
  <si>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</si>
  <si>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</si>
  <si>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</si>
  <si>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</si>
  <si>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</si>
  <si>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</si>
  <si>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</si>
  <si>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</si>
  <si>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</si>
  <si>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</si>
  <si>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</si>
  <si>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</si>
  <si>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</si>
  <si>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</si>
  <si>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</si>
  <si>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</si>
  <si>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</si>
  <si>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</si>
  <si>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</si>
  <si>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</si>
  <si>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</si>
  <si>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</si>
  <si>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</si>
  <si>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</si>
  <si>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</si>
  <si>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</si>
  <si>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</si>
  <si>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</si>
  <si>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</si>
  <si>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</si>
  <si>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</si>
  <si>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</si>
  <si>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</si>
  <si>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</si>
  <si>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</si>
  <si>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</si>
  <si>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</si>
  <si>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</si>
  <si>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</si>
  <si>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</si>
  <si>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</si>
  <si>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</si>
  <si>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</si>
  <si>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</si>
  <si>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</si>
  <si>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</si>
  <si>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</si>
  <si>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</si>
  <si>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</si>
  <si>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</si>
  <si>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</si>
  <si>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</si>
  <si>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</si>
  <si>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</si>
  <si>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</si>
  <si>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</si>
  <si>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</si>
  <si>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</si>
  <si>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</si>
  <si>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</si>
  <si>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</si>
  <si>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</si>
  <si>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</si>
  <si>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</si>
  <si>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</si>
  <si>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</si>
  <si>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</si>
  <si>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</si>
  <si>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</si>
  <si>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</si>
  <si>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</si>
  <si>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</si>
  <si>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</si>
  <si>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</si>
  <si>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</si>
  <si>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</si>
  <si>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</si>
  <si>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</si>
  <si>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</si>
  <si>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</si>
  <si>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</si>
  <si>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</si>
  <si>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</si>
  <si>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</si>
  <si>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</si>
  <si>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</si>
  <si>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</si>
  <si>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</si>
  <si>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</si>
  <si>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</si>
  <si>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</si>
  <si>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</si>
  <si>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</si>
  <si>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</si>
  <si>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</si>
  <si>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</si>
  <si>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</si>
  <si>
    <t>2024-11-26 00:00:00 UTC</t>
  </si>
  <si>
    <t>2024-11-27 00:00:00 UTC</t>
  </si>
  <si>
    <t>2024-11-28 00:00:00 UTC</t>
  </si>
  <si>
    <t>2024-11-29 00:00:00 UTC</t>
  </si>
  <si>
    <t>2024-11-30 00:00:00 UTC</t>
  </si>
  <si>
    <t>2024-12-01 00:00:00 UTC</t>
  </si>
  <si>
    <t>2024-12-02 00:00:00 UTC</t>
  </si>
  <si>
    <t>2024-12-03 00:00:00 UTC</t>
  </si>
  <si>
    <t>2024-12-04 00:00:00 UTC</t>
  </si>
  <si>
    <t>2024-12-05 00:00:00 UTC</t>
  </si>
  <si>
    <t>2024-12-06 00:00:00 UTC</t>
  </si>
  <si>
    <t>2024-12-07 00:00:00 UTC</t>
  </si>
  <si>
    <t>2024-12-08 00:00:00 UTC</t>
  </si>
  <si>
    <t>2024-12-09 00:00:00 UTC</t>
  </si>
  <si>
    <t>2024-12-10 00:00:00 UTC</t>
  </si>
  <si>
    <t>2024-12-11 00:00:00 UTC</t>
  </si>
  <si>
    <t>2024-12-12 00:00:00 UTC</t>
  </si>
  <si>
    <t>2024-12-13 00:00:00 UTC</t>
  </si>
  <si>
    <t>2024-12-14 00:00:00 UTC</t>
  </si>
  <si>
    <t>2024-12-15 00:00:00 UTC</t>
  </si>
  <si>
    <t>2024-12-16 00:00:00 UTC</t>
  </si>
  <si>
    <t>2024-12-17 00:00:00 UTC</t>
  </si>
  <si>
    <t>2024-12-18 00:00:00 UTC</t>
  </si>
  <si>
    <t>2024-12-19 00:00:00 UTC</t>
  </si>
  <si>
    <t>2024-12-20 00:00:00 UTC</t>
  </si>
  <si>
    <t>2024-12-21 00:00:00 UTC</t>
  </si>
  <si>
    <t>2024-12-22 00:00:00 UTC</t>
  </si>
  <si>
    <t>2024-12-23 00:00:00 UTC</t>
  </si>
  <si>
    <t>2024-12-24 00:00:00 UTC</t>
  </si>
  <si>
    <t>2024-12-25 00:00:00 UTC</t>
  </si>
  <si>
    <t>2024-12-26 00:00:00 UTC</t>
  </si>
  <si>
    <t>2024-12-27 00:00:00 UTC</t>
  </si>
  <si>
    <t>2024-12-28 00:00:00 UTC</t>
  </si>
  <si>
    <t>2024-12-29 00:00:00 UTC</t>
  </si>
  <si>
    <t>2024-12-30 00:00:00 UTC</t>
  </si>
  <si>
    <t>2024-12-31 00:00:00 UTC</t>
  </si>
  <si>
    <t>2025-01-01 00:00:00 UTC</t>
  </si>
  <si>
    <t>2025-01-02 00:00:00 UTC</t>
  </si>
  <si>
    <t>2025-01-03 00:00:00 UTC</t>
  </si>
  <si>
    <t>2025-01-04 00:00:00 UTC</t>
  </si>
  <si>
    <t>2025-01-05 00:00:00 UTC</t>
  </si>
  <si>
    <t>2025-01-06 00:00:00 UTC</t>
  </si>
  <si>
    <t>2025-01-07 00:00:00 UTC</t>
  </si>
  <si>
    <t>2025-01-08 00:00:00 UTC</t>
  </si>
  <si>
    <t>2025-01-09 00:00:00 UTC</t>
  </si>
  <si>
    <t>2025-01-10 00:00:00 UTC</t>
  </si>
  <si>
    <t>2025-01-11 00:00:00 UTC</t>
  </si>
  <si>
    <t>2025-01-12 00:00:00 UTC</t>
  </si>
  <si>
    <t>2025-01-13 00:00:00 UTC</t>
  </si>
  <si>
    <t>2025-01-14 00:00:00 UTC</t>
  </si>
  <si>
    <t>2025-01-15 00:00:00 UTC</t>
  </si>
  <si>
    <t>2025-01-16 00:00:00 UTC</t>
  </si>
  <si>
    <t>2025-01-17 00:00:00 UTC</t>
  </si>
  <si>
    <t>2025-01-18 00:00:00 UTC</t>
  </si>
  <si>
    <t>2025-01-19 00:00:00 UTC</t>
  </si>
  <si>
    <t>2025-01-20 00:00:00 UTC</t>
  </si>
  <si>
    <t>2025-01-21 00:00:00 UTC</t>
  </si>
  <si>
    <t>2025-01-22 00:00:00 UTC</t>
  </si>
  <si>
    <t>2025-01-23 00:00:00 UTC</t>
  </si>
  <si>
    <t>2025-01-24 00:00:00 UTC</t>
  </si>
  <si>
    <t>2025-01-25 00:00:00 UTC</t>
  </si>
  <si>
    <t>2025-01-26 00:00:00 UTC</t>
  </si>
  <si>
    <t>2025-01-27 00:00:00 UTC</t>
  </si>
  <si>
    <t>2025-01-28 00:00:00 UTC</t>
  </si>
  <si>
    <t>2025-01-29 00:00:00 UTC</t>
  </si>
  <si>
    <t>2025-01-30 00:00:00 UTC</t>
  </si>
  <si>
    <t>2025-01-31 00:00:00 UTC</t>
  </si>
  <si>
    <t>2025-02-01 00:00:00 UTC</t>
  </si>
  <si>
    <t>2025-02-02 00:00:00 UTC</t>
  </si>
  <si>
    <t>2025-02-03 00:00:00 UTC</t>
  </si>
  <si>
    <t>2025-02-04 00:00:00 UTC</t>
  </si>
  <si>
    <t>2025-02-05 00:00:00 UTC</t>
  </si>
  <si>
    <t>2025-02-06 00:00:00 UTC</t>
  </si>
  <si>
    <t>2025-02-07 00:00:00 UTC</t>
  </si>
  <si>
    <t>2025-02-08 00:00:00 UTC</t>
  </si>
  <si>
    <t>2025-02-09 00:00:00 UTC</t>
  </si>
  <si>
    <t>2025-02-10 00:00:00 UTC</t>
  </si>
  <si>
    <t>2025-02-11 00:00:00 UTC</t>
  </si>
  <si>
    <t>2025-02-12 00:00:00 UTC</t>
  </si>
  <si>
    <t>2025-02-13 00:00:00 UTC</t>
  </si>
  <si>
    <t>2025-02-14 00:00:00 UTC</t>
  </si>
  <si>
    <t>2025-02-15 00:00:00 UTC</t>
  </si>
  <si>
    <t>2025-02-16 00:00:00 UTC</t>
  </si>
  <si>
    <t>2025-02-17 00:00:00 UTC</t>
  </si>
  <si>
    <t>2025-02-18 00:00:00 UTC</t>
  </si>
  <si>
    <t>2025-02-19 00:00:00 UTC</t>
  </si>
  <si>
    <t>2025-02-20 00:00:00 UTC</t>
  </si>
  <si>
    <t>2025-02-21 00:00:00 UTC</t>
  </si>
  <si>
    <t>2025-02-22 00:00:00 UTC</t>
  </si>
  <si>
    <t>2025-02-23 00:00:00 UTC</t>
  </si>
  <si>
    <t>2025-02-24 00:00:00 UTC</t>
  </si>
  <si>
    <t>2025-02-25 00:00:00 UTC</t>
  </si>
  <si>
    <t>2025-02-26 00:00:00 UTC</t>
  </si>
  <si>
    <t>2025-02-27 00:00:00 UTC</t>
  </si>
  <si>
    <t>2025-02-28 00:00:00 UTC</t>
  </si>
  <si>
    <t>2025-03-01 00:00:00 UTC</t>
  </si>
  <si>
    <t>2025-03-02 00:00:00 UTC</t>
  </si>
  <si>
    <t>2025-03-03 00:00:00 UTC</t>
  </si>
  <si>
    <t>2025-03-04 00:00:00 UTC</t>
  </si>
  <si>
    <t>2025-03-05 00:00:00 UTC</t>
  </si>
  <si>
    <t>2025-03-06 00:00:00 UTC</t>
  </si>
  <si>
    <t>2025-03-07 00:00:00 UTC</t>
  </si>
  <si>
    <t>2025-03-08 00:00:00 UTC</t>
  </si>
  <si>
    <t>2025-03-09 00:00:00 UTC</t>
  </si>
  <si>
    <t>2025-03-10 00:00:00 UTC</t>
  </si>
  <si>
    <t>2025-03-11 00:00:00 UTC</t>
  </si>
  <si>
    <t>2025-03-12 00:00:00 UTC</t>
  </si>
  <si>
    <t>2025-03-13 00:00:00 UTC</t>
  </si>
  <si>
    <t>2025-03-14 00:00:00 UTC</t>
  </si>
  <si>
    <t>2025-03-15 00:00:00 UTC</t>
  </si>
  <si>
    <t>2025-03-16 00:00:00 UTC</t>
  </si>
  <si>
    <t>2025-03-17 00:00:00 UTC</t>
  </si>
  <si>
    <t>2025-03-18 00:00:00 UTC</t>
  </si>
  <si>
    <t>2025-03-19 00:00:00 UTC</t>
  </si>
  <si>
    <t>2025-03-20 00:00:00 UTC</t>
  </si>
  <si>
    <t>2025-03-21 00:00:00 UTC</t>
  </si>
  <si>
    <t>2025-03-22 00:00:00 UTC</t>
  </si>
  <si>
    <t>2025-03-23 00:00:00 UTC</t>
  </si>
  <si>
    <t>2025-03-24 00:00:00 UTC</t>
  </si>
  <si>
    <t>2025-03-25 00:00:00 UTC</t>
  </si>
  <si>
    <t>2025-03-26 00:00:00 UTC</t>
  </si>
  <si>
    <t>2025-03-27 00:00:00 UTC</t>
  </si>
  <si>
    <t>2025-03-28 00:00:00 UTC</t>
  </si>
  <si>
    <t>2025-03-29 00:00:00 UTC</t>
  </si>
  <si>
    <t>2025-03-30 00:00:00 UTC</t>
  </si>
  <si>
    <t>2025-03-31 00:00:00 UTC</t>
  </si>
  <si>
    <t>2025-04-01 00:00:00 UTC</t>
  </si>
  <si>
    <t>2025-04-02 00:00:00 UTC</t>
  </si>
  <si>
    <t>2025-04-03 00:00:00 UTC</t>
  </si>
  <si>
    <t>2025-04-04 00:00:00 UTC</t>
  </si>
  <si>
    <t>2025-04-05 00:00:00 UTC</t>
  </si>
  <si>
    <t>2025-04-06 00:00:00 UTC</t>
  </si>
  <si>
    <t>2025-04-07 00:00:00 UTC</t>
  </si>
  <si>
    <t>2025-04-08 00:00:00 UTC</t>
  </si>
  <si>
    <t>2025-04-09 00:00:00 UTC</t>
  </si>
  <si>
    <t>2025-04-10 00:00:00 UTC</t>
  </si>
  <si>
    <t>2025-04-11 00:00:00 UTC</t>
  </si>
  <si>
    <t>2025-04-12 00:00:00 UTC</t>
  </si>
  <si>
    <t>Date</t>
  </si>
  <si>
    <t>Market_Cap</t>
  </si>
  <si>
    <t>closing_price</t>
  </si>
  <si>
    <t>Asset</t>
  </si>
  <si>
    <t>Apple</t>
  </si>
  <si>
    <t>Tesla</t>
  </si>
  <si>
    <t>Total Volume</t>
  </si>
  <si>
    <t>Average Close Price</t>
  </si>
  <si>
    <t>Price Change (%)</t>
  </si>
  <si>
    <t>Max High</t>
  </si>
  <si>
    <t>Min Low</t>
  </si>
  <si>
    <t>Avg Price</t>
  </si>
  <si>
    <t>% Change</t>
  </si>
  <si>
    <t>High</t>
  </si>
  <si>
    <t>Low</t>
  </si>
  <si>
    <t>Bitcoin (BTC)</t>
  </si>
  <si>
    <t>Ethereum(ETH)</t>
  </si>
  <si>
    <t>Market Dashboard: Stocks vs Crypto (1-Year 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</si>
</sst>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2" fillId="0" borderId="2" xfId="2" applyAlignment="1">
      <alignment horizontal="center"/>
    </xf>
    <xf numFmtId="0" fontId="3" fillId="0" borderId="0" xfId="3" applyBorder="1"/>
    <xf numFmtId="0" fontId="0" fillId="0" borderId="3" xfId="0" applyBorder="1"/>
    <xf numFmtId="0" fontId="3" fillId="0" borderId="5" xfId="3" applyBorder="1"/>
    <xf numFmtId="0" fontId="0" fillId="0" borderId="5" xfId="0" applyBorder="1"/>
    <xf numFmtId="0" fontId="0" fillId="0" borderId="4" xfId="0" applyBorder="1"/>
    <xf numFmtId="0" fontId="4" fillId="0" borderId="0" xfId="1" applyFont="1" applyBorder="1" applyAlignment="1">
      <alignment horizontal="center" vertical="center"/>
    </xf>
    <xf numFmtId="0" fontId="2" fillId="0" borderId="2" xfId="2"/>
    <xf numFmtId="0" fontId="4" fillId="0" borderId="0" xfId="1" applyFont="1" applyBorder="1" applyAlignment="1">
      <alignment horizontal="center" vertical="center"/>
    </xf>
  </cellXfs>
  <cellStyles count="4">
    <cellStyle name="Heading 1" xfId="1" builtinId="16"/>
    <cellStyle name="Heading 2" xfId="2" builtinId="17"/>
    <cellStyle name="Heading 4" xfId="3" builtinId="19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 Year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ED-4AD3-807F-A564F75B82E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ED-4AD3-807F-A564F75B82E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ED-4AD3-807F-A564F75B82EE}"/>
              </c:ext>
            </c:extLst>
          </c:dPt>
          <c:dPt>
            <c:idx val="3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5ED-4AD3-807F-A564F75B82EE}"/>
              </c:ext>
            </c:extLst>
          </c:dPt>
          <c:cat>
            <c:strRef>
              <c:f>Dashboard!$A$7:$A$10</c:f>
              <c:strCache>
                <c:ptCount val="4"/>
                <c:pt idx="0">
                  <c:v>Tesla</c:v>
                </c:pt>
                <c:pt idx="1">
                  <c:v>Apple</c:v>
                </c:pt>
                <c:pt idx="2">
                  <c:v>Bitcoin (BTC)</c:v>
                </c:pt>
                <c:pt idx="3">
                  <c:v>Ethereum(ETH)</c:v>
                </c:pt>
              </c:strCache>
            </c:strRef>
          </c:cat>
          <c:val>
            <c:numRef>
              <c:f>Dashboard!$C$7:$C$10</c:f>
              <c:numCache>
                <c:formatCode>General</c:formatCode>
                <c:ptCount val="4"/>
                <c:pt idx="0">
                  <c:v>0.56248451820658918</c:v>
                </c:pt>
                <c:pt idx="1">
                  <c:v>0.14743181423359783</c:v>
                </c:pt>
                <c:pt idx="2">
                  <c:v>0.26898726409591139</c:v>
                </c:pt>
                <c:pt idx="3">
                  <c:v>-0.5033917876463333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D-4AD3-807F-A564F75B8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533408"/>
        <c:axId val="1426534848"/>
      </c:barChart>
      <c:catAx>
        <c:axId val="142653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34848"/>
        <c:crosses val="autoZero"/>
        <c:auto val="1"/>
        <c:lblAlgn val="ctr"/>
        <c:lblOffset val="100"/>
        <c:noMultiLvlLbl val="0"/>
      </c:catAx>
      <c:valAx>
        <c:axId val="14265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234156</xdr:colOff>
      <xdr:row>0</xdr:row>
      <xdr:rowOff>152400</xdr:rowOff>
    </xdr:from>
    <xdr:to>
      <xdr:col>15</xdr:col>
      <xdr:colOff>527843</xdr:colOff>
      <xdr:row>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E7625-FA6C-2E74-AD14-44A10E0DC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E59E553-2FA9-4D8C-9E6C-F85F8476AC8F}" autoFormatId="16" applyNumberFormats="0" applyBorderFormats="0" applyFontFormats="0" applyPatternFormats="0" applyAlignmentFormats="0" applyWidthHeightFormats="0">
  <queryTableRefresh nextId="7">
    <queryTableFields count="6">
      <queryTableField id="1" name="timestamp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BE2F3AC-6140-446E-8438-4C34492FB312}" autoFormatId="16" applyNumberFormats="0" applyBorderFormats="0" applyFontFormats="0" applyPatternFormats="0" applyAlignmentFormats="0" applyWidthHeightFormats="0">
  <queryTableRefresh nextId="7">
    <queryTableFields count="6">
      <queryTableField id="1" name="timestamp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123F06-E433-4889-B84D-F4E528187B2C}" autoFormatId="16" applyNumberFormats="0" applyBorderFormats="0" applyFontFormats="0" applyPatternFormats="0" applyAlignmentFormats="0" applyWidthHeightFormats="0">
  <queryTableRefresh nextId="5">
    <queryTableFields count="4">
      <queryTableField id="1" name="snapped_at" tableColumnId="1"/>
      <queryTableField id="2" name="price" tableColumnId="2"/>
      <queryTableField id="3" name="market_cap" tableColumnId="3"/>
      <queryTableField id="4" name="total_volu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C1FEF3-8AC8-4CD5-ADDE-9EB8F1CC8FCE}" autoFormatId="16" applyNumberFormats="0" applyBorderFormats="0" applyFontFormats="0" applyPatternFormats="0" applyAlignmentFormats="0" applyWidthHeightFormats="0">
  <queryTableRefresh nextId="5">
    <queryTableFields count="4">
      <queryTableField id="1" name="snapped_at" tableColumnId="1"/>
      <queryTableField id="2" name="price" tableColumnId="2"/>
      <queryTableField id="3" name="market_cap" tableColumnId="3"/>
      <queryTableField id="4" name="total_volu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60785F-B90B-4424-BC56-95C264DA94DB}" name="query?function_TIME_SERIES_DAILY_symbol_TSLA_outputsize_full_apikey_GZI7H5RJGQTL" displayName="query?function_TIME_SERIES_DAILY_symbol_TSLA_outputsize_full_apikey_GZI7H5RJGQTL" ref="A1:F251" tableType="queryTable" totalsRowShown="0">
  <autoFilter ref="A1:F251" xr:uid="{4960785F-B90B-4424-BC56-95C264DA94DB}"/>
  <sortState xmlns:xlrd2="http://schemas.microsoft.com/office/spreadsheetml/2017/richdata2" ref="A2:F251">
    <sortCondition ref="A1:A251"/>
  </sortState>
  <tableColumns count="6">
    <tableColumn id="1" xr3:uid="{E822A907-4EAE-46F5-B634-254BE84D1D3B}" uniqueName="1" name="Date" queryTableFieldId="1" dataDxfId="4"/>
    <tableColumn id="2" xr3:uid="{0E1EF321-897B-48BF-BDA0-F317A571B716}" uniqueName="2" name="open" queryTableFieldId="2"/>
    <tableColumn id="3" xr3:uid="{4C39D9A1-500B-4B59-B685-581F577449BC}" uniqueName="3" name="high" queryTableFieldId="3"/>
    <tableColumn id="4" xr3:uid="{E2CC6A2A-4B83-439E-8575-527BEAF09B9C}" uniqueName="4" name="low" queryTableFieldId="4"/>
    <tableColumn id="5" xr3:uid="{FE323B66-FAA7-400D-855F-9773DFBC1E29}" uniqueName="5" name="close" queryTableFieldId="5"/>
    <tableColumn id="6" xr3:uid="{CD000243-519D-4F94-85E4-5605C9F475FF}" uniqueName="6" name="volum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B8DA10-BE18-4A48-8B97-67C2B10BC98A}" name="query?function_TIME_SERIES_DAILY_symbol_AAPL_outputsize_full_apikey_GZI7H5RJGQTL" displayName="query?function_TIME_SERIES_DAILY_symbol_AAPL_outputsize_full_apikey_GZI7H5RJGQTL" ref="A1:F251" tableType="queryTable" totalsRowShown="0">
  <autoFilter ref="A1:F251" xr:uid="{3BB8DA10-BE18-4A48-8B97-67C2B10BC98A}"/>
  <sortState xmlns:xlrd2="http://schemas.microsoft.com/office/spreadsheetml/2017/richdata2" ref="A2:F251">
    <sortCondition ref="A1:A251"/>
  </sortState>
  <tableColumns count="6">
    <tableColumn id="1" xr3:uid="{70FC7527-7650-4F53-8B85-FED0AECDCCE7}" uniqueName="1" name="Date" queryTableFieldId="1" dataDxfId="3"/>
    <tableColumn id="2" xr3:uid="{B8689D1B-6EF6-4A5F-AA9A-F2F1DA138B20}" uniqueName="2" name="open" queryTableFieldId="2"/>
    <tableColumn id="3" xr3:uid="{BA87E2EE-0311-46D1-95BE-B87F89FD575B}" uniqueName="3" name="high" queryTableFieldId="3"/>
    <tableColumn id="4" xr3:uid="{A58BBFF1-71CC-4AF4-9221-44553292CCAA}" uniqueName="4" name="low" queryTableFieldId="4"/>
    <tableColumn id="5" xr3:uid="{CDFE66AC-E970-4F0E-9B63-2E995E3F3C34}" uniqueName="5" name="close" queryTableFieldId="5"/>
    <tableColumn id="6" xr3:uid="{506F0037-56CB-4B88-8B6D-E5A2DE98E086}" uniqueName="6" name="volum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A60288-5765-4CA0-9C82-6CB445E7BFAC}" name="btc_usd_max" displayName="btc_usd_max" ref="A1:D364" tableType="queryTable" totalsRowShown="0">
  <autoFilter ref="A1:D364" xr:uid="{B9A60288-5765-4CA0-9C82-6CB445E7BFAC}"/>
  <tableColumns count="4">
    <tableColumn id="1" xr3:uid="{E6FE44FB-46BD-44F8-8FC1-6480F2000368}" uniqueName="1" name="Date" queryTableFieldId="1" dataDxfId="2"/>
    <tableColumn id="2" xr3:uid="{19E85FEE-CB48-4BA9-8335-CAC0F0D3A4FD}" uniqueName="2" name="closing_price" queryTableFieldId="2"/>
    <tableColumn id="3" xr3:uid="{64A7A4D3-5BC3-4F91-A31B-D96BCC8C82C8}" uniqueName="3" name="Market_Cap" queryTableFieldId="3"/>
    <tableColumn id="4" xr3:uid="{90B37420-0505-4084-A333-E265742B9ED6}" uniqueName="4" name="total_volum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F7D190-D9B4-43BC-BE18-82BC2D29DC8E}" name="eth_usd_max" displayName="eth_usd_max" ref="A1:D364" tableType="queryTable" totalsRowShown="0">
  <autoFilter ref="A1:D364" xr:uid="{F5F7D190-D9B4-43BC-BE18-82BC2D29DC8E}"/>
  <tableColumns count="4">
    <tableColumn id="1" xr3:uid="{88FB0F8B-9605-4FF4-A0CA-58C07DFAA9D0}" uniqueName="1" name="Date" queryTableFieldId="1" dataDxfId="1"/>
    <tableColumn id="2" xr3:uid="{E8251CCD-3552-4265-A661-C0847D38C5DA}" uniqueName="2" name="closing_price" queryTableFieldId="2"/>
    <tableColumn id="3" xr3:uid="{D36FBFB5-9E71-4F7A-93E4-5E6D7F45241D}" uniqueName="3" name="Market_Cap" queryTableFieldId="3" dataDxfId="0"/>
    <tableColumn id="4" xr3:uid="{3BD10115-26FF-43C6-8DBE-3540E161B8F9}" uniqueName="4" name="total_volum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D654-D955-4468-854E-C81C5874EAF8}">
  <dimension ref="A1:I256"/>
  <sheetViews>
    <sheetView topLeftCell="A242" workbookViewId="0">
      <selection activeCell="I251" sqref="I251"/>
    </sheetView>
  </sheetViews>
  <sheetFormatPr defaultRowHeight="14.5" x14ac:dyDescent="0.35"/>
  <cols>
    <col min="1" max="1" width="21.7265625" customWidth="1"/>
    <col min="2" max="2" width="11.81640625" bestFit="1" customWidth="1"/>
    <col min="3" max="4" width="8.81640625" bestFit="1" customWidth="1"/>
    <col min="5" max="5" width="7.54296875" bestFit="1" customWidth="1"/>
    <col min="6" max="6" width="9.81640625" bestFit="1" customWidth="1"/>
  </cols>
  <sheetData>
    <row r="1" spans="1:6" x14ac:dyDescent="0.35">
      <c r="A1" t="s">
        <v>369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45397</v>
      </c>
      <c r="B2">
        <v>170.24</v>
      </c>
      <c r="C2">
        <v>170.69</v>
      </c>
      <c r="D2">
        <v>161.38</v>
      </c>
      <c r="E2">
        <v>161.47999999999999</v>
      </c>
      <c r="F2">
        <v>100245310</v>
      </c>
    </row>
    <row r="3" spans="1:6" x14ac:dyDescent="0.35">
      <c r="A3" s="1">
        <v>45398</v>
      </c>
      <c r="B3">
        <v>156.74199999999999</v>
      </c>
      <c r="C3">
        <v>158.19</v>
      </c>
      <c r="D3">
        <v>153.75</v>
      </c>
      <c r="E3">
        <v>157.11000000000001</v>
      </c>
      <c r="F3">
        <v>96999956</v>
      </c>
    </row>
    <row r="4" spans="1:6" x14ac:dyDescent="0.35">
      <c r="A4" s="1">
        <v>45399</v>
      </c>
      <c r="B4">
        <v>157.63999999999999</v>
      </c>
      <c r="C4">
        <v>158.33000000000001</v>
      </c>
      <c r="D4">
        <v>153.78</v>
      </c>
      <c r="E4">
        <v>155.44999999999999</v>
      </c>
      <c r="F4">
        <v>82439718</v>
      </c>
    </row>
    <row r="5" spans="1:6" x14ac:dyDescent="0.35">
      <c r="A5" s="1">
        <v>45400</v>
      </c>
      <c r="B5">
        <v>151.25</v>
      </c>
      <c r="C5">
        <v>152.19999999999999</v>
      </c>
      <c r="D5">
        <v>148.69999999999999</v>
      </c>
      <c r="E5">
        <v>149.93</v>
      </c>
      <c r="F5">
        <v>96098830</v>
      </c>
    </row>
    <row r="6" spans="1:6" x14ac:dyDescent="0.35">
      <c r="A6" s="1">
        <v>45401</v>
      </c>
      <c r="B6">
        <v>148.97</v>
      </c>
      <c r="C6">
        <v>150.94</v>
      </c>
      <c r="D6">
        <v>146.22</v>
      </c>
      <c r="E6">
        <v>147.05000000000001</v>
      </c>
      <c r="F6">
        <v>87074500</v>
      </c>
    </row>
    <row r="7" spans="1:6" x14ac:dyDescent="0.35">
      <c r="A7" s="1">
        <v>45404</v>
      </c>
      <c r="B7">
        <v>140.56</v>
      </c>
      <c r="C7">
        <v>144.44</v>
      </c>
      <c r="D7">
        <v>138.80250000000001</v>
      </c>
      <c r="E7">
        <v>142.05000000000001</v>
      </c>
      <c r="F7">
        <v>107097564</v>
      </c>
    </row>
    <row r="8" spans="1:6" x14ac:dyDescent="0.35">
      <c r="A8" s="1">
        <v>45405</v>
      </c>
      <c r="B8">
        <v>143.33000000000001</v>
      </c>
      <c r="C8">
        <v>147.26</v>
      </c>
      <c r="D8">
        <v>141.11000000000001</v>
      </c>
      <c r="E8">
        <v>144.68</v>
      </c>
      <c r="F8">
        <v>124545104</v>
      </c>
    </row>
    <row r="9" spans="1:6" x14ac:dyDescent="0.35">
      <c r="A9" s="1">
        <v>45406</v>
      </c>
      <c r="B9">
        <v>162.84</v>
      </c>
      <c r="C9">
        <v>167.97</v>
      </c>
      <c r="D9">
        <v>157.51</v>
      </c>
      <c r="E9">
        <v>162.13</v>
      </c>
      <c r="F9">
        <v>181178020</v>
      </c>
    </row>
    <row r="10" spans="1:6" x14ac:dyDescent="0.35">
      <c r="A10" s="1">
        <v>45407</v>
      </c>
      <c r="B10">
        <v>158.96</v>
      </c>
      <c r="C10">
        <v>170.88</v>
      </c>
      <c r="D10">
        <v>158.36000000000001</v>
      </c>
      <c r="E10">
        <v>170.18</v>
      </c>
      <c r="F10">
        <v>126427521</v>
      </c>
    </row>
    <row r="11" spans="1:6" x14ac:dyDescent="0.35">
      <c r="A11" s="1">
        <v>45408</v>
      </c>
      <c r="B11">
        <v>168.85</v>
      </c>
      <c r="C11">
        <v>172.12</v>
      </c>
      <c r="D11">
        <v>166.37</v>
      </c>
      <c r="E11">
        <v>168.29</v>
      </c>
      <c r="F11">
        <v>109815725</v>
      </c>
    </row>
    <row r="12" spans="1:6" x14ac:dyDescent="0.35">
      <c r="A12" s="1">
        <v>45411</v>
      </c>
      <c r="B12">
        <v>188.42</v>
      </c>
      <c r="C12">
        <v>198.87</v>
      </c>
      <c r="D12">
        <v>184.54</v>
      </c>
      <c r="E12">
        <v>194.05</v>
      </c>
      <c r="F12">
        <v>243869678</v>
      </c>
    </row>
    <row r="13" spans="1:6" x14ac:dyDescent="0.35">
      <c r="A13" s="1">
        <v>45412</v>
      </c>
      <c r="B13">
        <v>186.98</v>
      </c>
      <c r="C13">
        <v>190.95</v>
      </c>
      <c r="D13">
        <v>182.84010000000001</v>
      </c>
      <c r="E13">
        <v>183.28</v>
      </c>
      <c r="F13">
        <v>127031787</v>
      </c>
    </row>
    <row r="14" spans="1:6" x14ac:dyDescent="0.35">
      <c r="A14" s="1">
        <v>45413</v>
      </c>
      <c r="B14">
        <v>182</v>
      </c>
      <c r="C14">
        <v>185.86</v>
      </c>
      <c r="D14">
        <v>179.01</v>
      </c>
      <c r="E14">
        <v>179.99</v>
      </c>
      <c r="F14">
        <v>92829719</v>
      </c>
    </row>
    <row r="15" spans="1:6" x14ac:dyDescent="0.35">
      <c r="A15" s="1">
        <v>45414</v>
      </c>
      <c r="B15">
        <v>182.86</v>
      </c>
      <c r="C15">
        <v>184.6</v>
      </c>
      <c r="D15">
        <v>176.02</v>
      </c>
      <c r="E15">
        <v>180.01</v>
      </c>
      <c r="F15">
        <v>89148041</v>
      </c>
    </row>
    <row r="16" spans="1:6" x14ac:dyDescent="0.35">
      <c r="A16" s="1">
        <v>45415</v>
      </c>
      <c r="B16">
        <v>182.1</v>
      </c>
      <c r="C16">
        <v>184.78</v>
      </c>
      <c r="D16">
        <v>178.42</v>
      </c>
      <c r="E16">
        <v>181.19</v>
      </c>
      <c r="F16">
        <v>75491539</v>
      </c>
    </row>
    <row r="17" spans="1:6" x14ac:dyDescent="0.35">
      <c r="A17" s="1">
        <v>45418</v>
      </c>
      <c r="B17">
        <v>183.8</v>
      </c>
      <c r="C17">
        <v>187.56</v>
      </c>
      <c r="D17">
        <v>182.2</v>
      </c>
      <c r="E17">
        <v>184.76</v>
      </c>
      <c r="F17">
        <v>84390253</v>
      </c>
    </row>
    <row r="18" spans="1:6" x14ac:dyDescent="0.35">
      <c r="A18" s="1">
        <v>45419</v>
      </c>
      <c r="B18">
        <v>182.4</v>
      </c>
      <c r="C18">
        <v>183.26</v>
      </c>
      <c r="D18">
        <v>177.4</v>
      </c>
      <c r="E18">
        <v>177.81</v>
      </c>
      <c r="F18">
        <v>75045854</v>
      </c>
    </row>
    <row r="19" spans="1:6" x14ac:dyDescent="0.35">
      <c r="A19" s="1">
        <v>45420</v>
      </c>
      <c r="B19">
        <v>171.59</v>
      </c>
      <c r="C19">
        <v>176.06</v>
      </c>
      <c r="D19">
        <v>170.15</v>
      </c>
      <c r="E19">
        <v>174.72</v>
      </c>
      <c r="F19">
        <v>79969488</v>
      </c>
    </row>
    <row r="20" spans="1:6" x14ac:dyDescent="0.35">
      <c r="A20" s="1">
        <v>45421</v>
      </c>
      <c r="B20">
        <v>175.01</v>
      </c>
      <c r="C20">
        <v>175.62</v>
      </c>
      <c r="D20">
        <v>171.37</v>
      </c>
      <c r="E20">
        <v>171.97</v>
      </c>
      <c r="F20">
        <v>65950292</v>
      </c>
    </row>
    <row r="21" spans="1:6" x14ac:dyDescent="0.35">
      <c r="A21" s="1">
        <v>45422</v>
      </c>
      <c r="B21">
        <v>173.05</v>
      </c>
      <c r="C21">
        <v>173.0599</v>
      </c>
      <c r="D21">
        <v>167.75</v>
      </c>
      <c r="E21">
        <v>168.47</v>
      </c>
      <c r="F21">
        <v>72627178</v>
      </c>
    </row>
    <row r="22" spans="1:6" x14ac:dyDescent="0.35">
      <c r="A22" s="1">
        <v>45425</v>
      </c>
      <c r="B22">
        <v>170</v>
      </c>
      <c r="C22">
        <v>175.4</v>
      </c>
      <c r="D22">
        <v>169</v>
      </c>
      <c r="E22">
        <v>171.89</v>
      </c>
      <c r="F22">
        <v>67018903</v>
      </c>
    </row>
    <row r="23" spans="1:6" x14ac:dyDescent="0.35">
      <c r="A23" s="1">
        <v>45426</v>
      </c>
      <c r="B23">
        <v>174.49590000000001</v>
      </c>
      <c r="C23">
        <v>179.49</v>
      </c>
      <c r="D23">
        <v>174.07</v>
      </c>
      <c r="E23">
        <v>177.55</v>
      </c>
      <c r="F23">
        <v>86407422</v>
      </c>
    </row>
    <row r="24" spans="1:6" x14ac:dyDescent="0.35">
      <c r="A24" s="1">
        <v>45427</v>
      </c>
      <c r="B24">
        <v>179.9</v>
      </c>
      <c r="C24">
        <v>180</v>
      </c>
      <c r="D24">
        <v>173.11</v>
      </c>
      <c r="E24">
        <v>173.99</v>
      </c>
      <c r="F24">
        <v>79662993</v>
      </c>
    </row>
    <row r="25" spans="1:6" x14ac:dyDescent="0.35">
      <c r="A25" s="1">
        <v>45428</v>
      </c>
      <c r="B25">
        <v>174.1</v>
      </c>
      <c r="C25">
        <v>175.79</v>
      </c>
      <c r="D25">
        <v>171.43</v>
      </c>
      <c r="E25">
        <v>174.84</v>
      </c>
      <c r="F25">
        <v>59812220</v>
      </c>
    </row>
    <row r="26" spans="1:6" x14ac:dyDescent="0.35">
      <c r="A26" s="1">
        <v>45429</v>
      </c>
      <c r="B26">
        <v>173.55</v>
      </c>
      <c r="C26">
        <v>179.63</v>
      </c>
      <c r="D26">
        <v>172.75</v>
      </c>
      <c r="E26">
        <v>177.46</v>
      </c>
      <c r="F26">
        <v>77445845</v>
      </c>
    </row>
    <row r="27" spans="1:6" x14ac:dyDescent="0.35">
      <c r="A27" s="1">
        <v>45432</v>
      </c>
      <c r="B27">
        <v>177.56</v>
      </c>
      <c r="C27">
        <v>177.75399999999999</v>
      </c>
      <c r="D27">
        <v>173.52</v>
      </c>
      <c r="E27">
        <v>174.95</v>
      </c>
      <c r="F27">
        <v>61727425</v>
      </c>
    </row>
    <row r="28" spans="1:6" x14ac:dyDescent="0.35">
      <c r="A28" s="1">
        <v>45433</v>
      </c>
      <c r="B28">
        <v>175.51</v>
      </c>
      <c r="C28">
        <v>186.875</v>
      </c>
      <c r="D28">
        <v>174.71</v>
      </c>
      <c r="E28">
        <v>186.6</v>
      </c>
      <c r="F28">
        <v>115266512</v>
      </c>
    </row>
    <row r="29" spans="1:6" x14ac:dyDescent="0.35">
      <c r="A29" s="1">
        <v>45434</v>
      </c>
      <c r="B29">
        <v>182.85</v>
      </c>
      <c r="C29">
        <v>183.8</v>
      </c>
      <c r="D29">
        <v>178.12</v>
      </c>
      <c r="E29">
        <v>180.11</v>
      </c>
      <c r="F29">
        <v>88313477</v>
      </c>
    </row>
    <row r="30" spans="1:6" x14ac:dyDescent="0.35">
      <c r="A30" s="1">
        <v>45435</v>
      </c>
      <c r="B30">
        <v>181.8</v>
      </c>
      <c r="C30">
        <v>181.9</v>
      </c>
      <c r="D30">
        <v>173.26</v>
      </c>
      <c r="E30">
        <v>173.74</v>
      </c>
      <c r="F30">
        <v>71975496</v>
      </c>
    </row>
    <row r="31" spans="1:6" x14ac:dyDescent="0.35">
      <c r="A31" s="1">
        <v>45436</v>
      </c>
      <c r="B31">
        <v>174.83500000000001</v>
      </c>
      <c r="C31">
        <v>180.08</v>
      </c>
      <c r="D31">
        <v>173.73</v>
      </c>
      <c r="E31">
        <v>179.24</v>
      </c>
      <c r="F31">
        <v>65584478</v>
      </c>
    </row>
    <row r="32" spans="1:6" x14ac:dyDescent="0.35">
      <c r="A32" s="1">
        <v>45440</v>
      </c>
      <c r="B32">
        <v>176.4</v>
      </c>
      <c r="C32">
        <v>178.25</v>
      </c>
      <c r="D32">
        <v>173.16</v>
      </c>
      <c r="E32">
        <v>176.75</v>
      </c>
      <c r="F32">
        <v>59736620</v>
      </c>
    </row>
    <row r="33" spans="1:6" x14ac:dyDescent="0.35">
      <c r="A33" s="1">
        <v>45441</v>
      </c>
      <c r="B33">
        <v>174.19</v>
      </c>
      <c r="C33">
        <v>178.15</v>
      </c>
      <c r="D33">
        <v>173.93</v>
      </c>
      <c r="E33">
        <v>176.19</v>
      </c>
      <c r="F33">
        <v>54782649</v>
      </c>
    </row>
    <row r="34" spans="1:6" x14ac:dyDescent="0.35">
      <c r="A34" s="1">
        <v>45442</v>
      </c>
      <c r="B34">
        <v>178.57499999999999</v>
      </c>
      <c r="C34">
        <v>182.67</v>
      </c>
      <c r="D34">
        <v>175.38</v>
      </c>
      <c r="E34">
        <v>178.79</v>
      </c>
      <c r="F34">
        <v>77784755</v>
      </c>
    </row>
    <row r="35" spans="1:6" x14ac:dyDescent="0.35">
      <c r="A35" s="1">
        <v>45443</v>
      </c>
      <c r="B35">
        <v>178.5</v>
      </c>
      <c r="C35">
        <v>180.32</v>
      </c>
      <c r="D35">
        <v>173.82</v>
      </c>
      <c r="E35">
        <v>178.08</v>
      </c>
      <c r="F35">
        <v>67314602</v>
      </c>
    </row>
    <row r="36" spans="1:6" x14ac:dyDescent="0.35">
      <c r="A36" s="1">
        <v>45446</v>
      </c>
      <c r="B36">
        <v>178.13</v>
      </c>
      <c r="C36">
        <v>182.63890000000001</v>
      </c>
      <c r="D36">
        <v>174.49</v>
      </c>
      <c r="E36">
        <v>176.29</v>
      </c>
      <c r="F36">
        <v>68568920</v>
      </c>
    </row>
    <row r="37" spans="1:6" x14ac:dyDescent="0.35">
      <c r="A37" s="1">
        <v>45447</v>
      </c>
      <c r="B37">
        <v>174.77500000000001</v>
      </c>
      <c r="C37">
        <v>177.755</v>
      </c>
      <c r="D37">
        <v>174</v>
      </c>
      <c r="E37">
        <v>174.77</v>
      </c>
      <c r="F37">
        <v>60056340</v>
      </c>
    </row>
    <row r="38" spans="1:6" x14ac:dyDescent="0.35">
      <c r="A38" s="1">
        <v>45448</v>
      </c>
      <c r="B38">
        <v>175.35</v>
      </c>
      <c r="C38">
        <v>176.15</v>
      </c>
      <c r="D38">
        <v>172.13</v>
      </c>
      <c r="E38">
        <v>175</v>
      </c>
      <c r="F38">
        <v>57953756</v>
      </c>
    </row>
    <row r="39" spans="1:6" x14ac:dyDescent="0.35">
      <c r="A39" s="1">
        <v>45449</v>
      </c>
      <c r="B39">
        <v>174.6</v>
      </c>
      <c r="C39">
        <v>179.73</v>
      </c>
      <c r="D39">
        <v>172.73</v>
      </c>
      <c r="E39">
        <v>177.94</v>
      </c>
      <c r="F39">
        <v>69887024</v>
      </c>
    </row>
    <row r="40" spans="1:6" x14ac:dyDescent="0.35">
      <c r="A40" s="1">
        <v>45450</v>
      </c>
      <c r="B40">
        <v>176.13</v>
      </c>
      <c r="C40">
        <v>179.35</v>
      </c>
      <c r="D40">
        <v>175.58</v>
      </c>
      <c r="E40">
        <v>177.48</v>
      </c>
      <c r="F40">
        <v>56244932</v>
      </c>
    </row>
    <row r="41" spans="1:6" x14ac:dyDescent="0.35">
      <c r="A41" s="1">
        <v>45453</v>
      </c>
      <c r="B41">
        <v>176.06</v>
      </c>
      <c r="C41">
        <v>178.57</v>
      </c>
      <c r="D41">
        <v>173.17</v>
      </c>
      <c r="E41">
        <v>173.79</v>
      </c>
      <c r="F41">
        <v>50869682</v>
      </c>
    </row>
    <row r="42" spans="1:6" x14ac:dyDescent="0.35">
      <c r="A42" s="1">
        <v>45454</v>
      </c>
      <c r="B42">
        <v>173.92</v>
      </c>
      <c r="C42">
        <v>174.75</v>
      </c>
      <c r="D42">
        <v>167.41</v>
      </c>
      <c r="E42">
        <v>170.66</v>
      </c>
      <c r="F42">
        <v>64761928</v>
      </c>
    </row>
    <row r="43" spans="1:6" x14ac:dyDescent="0.35">
      <c r="A43" s="1">
        <v>45455</v>
      </c>
      <c r="B43">
        <v>171.12</v>
      </c>
      <c r="C43">
        <v>180.55</v>
      </c>
      <c r="D43">
        <v>169.8</v>
      </c>
      <c r="E43">
        <v>177.29</v>
      </c>
      <c r="F43">
        <v>90389446</v>
      </c>
    </row>
    <row r="44" spans="1:6" x14ac:dyDescent="0.35">
      <c r="A44" s="1">
        <v>45456</v>
      </c>
      <c r="B44">
        <v>188.39</v>
      </c>
      <c r="C44">
        <v>191.08</v>
      </c>
      <c r="D44">
        <v>181.23</v>
      </c>
      <c r="E44">
        <v>182.47</v>
      </c>
      <c r="F44">
        <v>118984122</v>
      </c>
    </row>
    <row r="45" spans="1:6" x14ac:dyDescent="0.35">
      <c r="A45" s="1">
        <v>45457</v>
      </c>
      <c r="B45">
        <v>185.8</v>
      </c>
      <c r="C45">
        <v>186</v>
      </c>
      <c r="D45">
        <v>176.92</v>
      </c>
      <c r="E45">
        <v>178.01</v>
      </c>
      <c r="F45">
        <v>82038194</v>
      </c>
    </row>
    <row r="46" spans="1:6" x14ac:dyDescent="0.35">
      <c r="A46" s="1">
        <v>45460</v>
      </c>
      <c r="B46">
        <v>177.92</v>
      </c>
      <c r="C46">
        <v>188.81</v>
      </c>
      <c r="D46">
        <v>177</v>
      </c>
      <c r="E46">
        <v>187.44</v>
      </c>
      <c r="F46">
        <v>109786083</v>
      </c>
    </row>
    <row r="47" spans="1:6" x14ac:dyDescent="0.35">
      <c r="A47" s="1">
        <v>45461</v>
      </c>
      <c r="B47">
        <v>186.56</v>
      </c>
      <c r="C47">
        <v>187.2</v>
      </c>
      <c r="D47">
        <v>182.37</v>
      </c>
      <c r="E47">
        <v>184.86</v>
      </c>
      <c r="F47">
        <v>68982265</v>
      </c>
    </row>
    <row r="48" spans="1:6" x14ac:dyDescent="0.35">
      <c r="A48" s="1">
        <v>45463</v>
      </c>
      <c r="B48">
        <v>184.68</v>
      </c>
      <c r="C48">
        <v>185.21</v>
      </c>
      <c r="D48">
        <v>179.66</v>
      </c>
      <c r="E48">
        <v>181.57</v>
      </c>
      <c r="F48">
        <v>55893139</v>
      </c>
    </row>
    <row r="49" spans="1:6" x14ac:dyDescent="0.35">
      <c r="A49" s="1">
        <v>45464</v>
      </c>
      <c r="B49">
        <v>182.3</v>
      </c>
      <c r="C49">
        <v>183.95</v>
      </c>
      <c r="D49">
        <v>180.69</v>
      </c>
      <c r="E49">
        <v>183.01</v>
      </c>
      <c r="F49">
        <v>63029482</v>
      </c>
    </row>
    <row r="50" spans="1:6" x14ac:dyDescent="0.35">
      <c r="A50" s="1">
        <v>45467</v>
      </c>
      <c r="B50">
        <v>184.97</v>
      </c>
      <c r="C50">
        <v>188.8</v>
      </c>
      <c r="D50">
        <v>182.55</v>
      </c>
      <c r="E50">
        <v>182.58</v>
      </c>
      <c r="F50">
        <v>61992070</v>
      </c>
    </row>
    <row r="51" spans="1:6" x14ac:dyDescent="0.35">
      <c r="A51" s="1">
        <v>45468</v>
      </c>
      <c r="B51">
        <v>184.4</v>
      </c>
      <c r="C51">
        <v>187.97</v>
      </c>
      <c r="D51">
        <v>182.01</v>
      </c>
      <c r="E51">
        <v>187.35</v>
      </c>
      <c r="F51">
        <v>63678265</v>
      </c>
    </row>
    <row r="52" spans="1:6" x14ac:dyDescent="0.35">
      <c r="A52" s="1">
        <v>45469</v>
      </c>
      <c r="B52">
        <v>186.54</v>
      </c>
      <c r="C52">
        <v>197.755</v>
      </c>
      <c r="D52">
        <v>186.36</v>
      </c>
      <c r="E52">
        <v>196.37</v>
      </c>
      <c r="F52">
        <v>95737066</v>
      </c>
    </row>
    <row r="53" spans="1:6" x14ac:dyDescent="0.35">
      <c r="A53" s="1">
        <v>45470</v>
      </c>
      <c r="B53">
        <v>195.17</v>
      </c>
      <c r="C53">
        <v>198.72</v>
      </c>
      <c r="D53">
        <v>194.05</v>
      </c>
      <c r="E53">
        <v>197.42</v>
      </c>
      <c r="F53">
        <v>72746521</v>
      </c>
    </row>
    <row r="54" spans="1:6" x14ac:dyDescent="0.35">
      <c r="A54" s="1">
        <v>45471</v>
      </c>
      <c r="B54">
        <v>199.55</v>
      </c>
      <c r="C54">
        <v>203.2</v>
      </c>
      <c r="D54">
        <v>195.26</v>
      </c>
      <c r="E54">
        <v>197.88</v>
      </c>
      <c r="F54">
        <v>95438068</v>
      </c>
    </row>
    <row r="55" spans="1:6" x14ac:dyDescent="0.35">
      <c r="A55" s="1">
        <v>45474</v>
      </c>
      <c r="B55">
        <v>201.02</v>
      </c>
      <c r="C55">
        <v>213.23</v>
      </c>
      <c r="D55">
        <v>200.85</v>
      </c>
      <c r="E55">
        <v>209.86</v>
      </c>
      <c r="F55">
        <v>135691395</v>
      </c>
    </row>
    <row r="56" spans="1:6" x14ac:dyDescent="0.35">
      <c r="A56" s="1">
        <v>45475</v>
      </c>
      <c r="B56">
        <v>218.89</v>
      </c>
      <c r="C56">
        <v>231.3</v>
      </c>
      <c r="D56">
        <v>218.06</v>
      </c>
      <c r="E56">
        <v>231.26</v>
      </c>
      <c r="F56">
        <v>205047920</v>
      </c>
    </row>
    <row r="57" spans="1:6" x14ac:dyDescent="0.35">
      <c r="A57" s="1">
        <v>45476</v>
      </c>
      <c r="B57">
        <v>234.56</v>
      </c>
      <c r="C57">
        <v>248.35</v>
      </c>
      <c r="D57">
        <v>234.25</v>
      </c>
      <c r="E57">
        <v>246.39</v>
      </c>
      <c r="F57">
        <v>166561471</v>
      </c>
    </row>
    <row r="58" spans="1:6" x14ac:dyDescent="0.35">
      <c r="A58" s="1">
        <v>45478</v>
      </c>
      <c r="B58">
        <v>249.81</v>
      </c>
      <c r="C58">
        <v>252.37</v>
      </c>
      <c r="D58">
        <v>242.46010000000001</v>
      </c>
      <c r="E58">
        <v>251.52</v>
      </c>
      <c r="F58">
        <v>154501152</v>
      </c>
    </row>
    <row r="59" spans="1:6" x14ac:dyDescent="0.35">
      <c r="A59" s="1">
        <v>45481</v>
      </c>
      <c r="B59">
        <v>247.71</v>
      </c>
      <c r="C59">
        <v>259.43900000000002</v>
      </c>
      <c r="D59">
        <v>244.57</v>
      </c>
      <c r="E59">
        <v>252.94</v>
      </c>
      <c r="F59">
        <v>157219580</v>
      </c>
    </row>
    <row r="60" spans="1:6" x14ac:dyDescent="0.35">
      <c r="A60" s="1">
        <v>45482</v>
      </c>
      <c r="B60">
        <v>251</v>
      </c>
      <c r="C60">
        <v>265.61</v>
      </c>
      <c r="D60">
        <v>250.3</v>
      </c>
      <c r="E60">
        <v>262.33</v>
      </c>
      <c r="F60">
        <v>160742516</v>
      </c>
    </row>
    <row r="61" spans="1:6" x14ac:dyDescent="0.35">
      <c r="A61" s="1">
        <v>45483</v>
      </c>
      <c r="B61">
        <v>262.8</v>
      </c>
      <c r="C61">
        <v>267.58999999999997</v>
      </c>
      <c r="D61">
        <v>257.86</v>
      </c>
      <c r="E61">
        <v>263.26</v>
      </c>
      <c r="F61">
        <v>128519430</v>
      </c>
    </row>
    <row r="62" spans="1:6" x14ac:dyDescent="0.35">
      <c r="A62" s="1">
        <v>45484</v>
      </c>
      <c r="B62">
        <v>263.3</v>
      </c>
      <c r="C62">
        <v>271</v>
      </c>
      <c r="D62">
        <v>239.65</v>
      </c>
      <c r="E62">
        <v>241.03</v>
      </c>
      <c r="F62">
        <v>221707273</v>
      </c>
    </row>
    <row r="63" spans="1:6" x14ac:dyDescent="0.35">
      <c r="A63" s="1">
        <v>45485</v>
      </c>
      <c r="B63">
        <v>235.8</v>
      </c>
      <c r="C63">
        <v>251.84</v>
      </c>
      <c r="D63">
        <v>233.09119999999999</v>
      </c>
      <c r="E63">
        <v>248.23</v>
      </c>
      <c r="F63">
        <v>155955773</v>
      </c>
    </row>
    <row r="64" spans="1:6" x14ac:dyDescent="0.35">
      <c r="A64" s="1">
        <v>45488</v>
      </c>
      <c r="B64">
        <v>255.97</v>
      </c>
      <c r="C64">
        <v>265.60000000000002</v>
      </c>
      <c r="D64">
        <v>251.73</v>
      </c>
      <c r="E64">
        <v>252.64</v>
      </c>
      <c r="F64">
        <v>146912920</v>
      </c>
    </row>
    <row r="65" spans="1:6" x14ac:dyDescent="0.35">
      <c r="A65" s="1">
        <v>45489</v>
      </c>
      <c r="B65">
        <v>255.31</v>
      </c>
      <c r="C65">
        <v>258.62</v>
      </c>
      <c r="D65">
        <v>245.80009999999999</v>
      </c>
      <c r="E65">
        <v>256.56</v>
      </c>
      <c r="F65">
        <v>126332470</v>
      </c>
    </row>
    <row r="66" spans="1:6" x14ac:dyDescent="0.35">
      <c r="A66" s="1">
        <v>45490</v>
      </c>
      <c r="B66">
        <v>252.73</v>
      </c>
      <c r="C66">
        <v>258.47000000000003</v>
      </c>
      <c r="D66">
        <v>246.18199999999999</v>
      </c>
      <c r="E66">
        <v>248.5</v>
      </c>
      <c r="F66">
        <v>115584810</v>
      </c>
    </row>
    <row r="67" spans="1:6" x14ac:dyDescent="0.35">
      <c r="A67" s="1">
        <v>45491</v>
      </c>
      <c r="B67">
        <v>251.09</v>
      </c>
      <c r="C67">
        <v>257.14</v>
      </c>
      <c r="D67">
        <v>247.2</v>
      </c>
      <c r="E67">
        <v>249.23</v>
      </c>
      <c r="F67">
        <v>110869037</v>
      </c>
    </row>
    <row r="68" spans="1:6" x14ac:dyDescent="0.35">
      <c r="A68" s="1">
        <v>45492</v>
      </c>
      <c r="B68">
        <v>247.79</v>
      </c>
      <c r="C68">
        <v>249.44</v>
      </c>
      <c r="D68">
        <v>236.83</v>
      </c>
      <c r="E68">
        <v>239.2</v>
      </c>
      <c r="F68">
        <v>87403903</v>
      </c>
    </row>
    <row r="69" spans="1:6" x14ac:dyDescent="0.35">
      <c r="A69" s="1">
        <v>45495</v>
      </c>
      <c r="B69">
        <v>244.21</v>
      </c>
      <c r="C69">
        <v>253.21</v>
      </c>
      <c r="D69">
        <v>243.75</v>
      </c>
      <c r="E69">
        <v>251.51</v>
      </c>
      <c r="F69">
        <v>101225430</v>
      </c>
    </row>
    <row r="70" spans="1:6" x14ac:dyDescent="0.35">
      <c r="A70" s="1">
        <v>45496</v>
      </c>
      <c r="B70">
        <v>253.6</v>
      </c>
      <c r="C70">
        <v>255.7594</v>
      </c>
      <c r="D70">
        <v>245.63</v>
      </c>
      <c r="E70">
        <v>246.38</v>
      </c>
      <c r="F70">
        <v>111928192</v>
      </c>
    </row>
    <row r="71" spans="1:6" x14ac:dyDescent="0.35">
      <c r="A71" s="1">
        <v>45497</v>
      </c>
      <c r="B71">
        <v>225.42</v>
      </c>
      <c r="C71">
        <v>225.99</v>
      </c>
      <c r="D71">
        <v>214.71</v>
      </c>
      <c r="E71">
        <v>215.99</v>
      </c>
      <c r="F71">
        <v>167942939</v>
      </c>
    </row>
    <row r="72" spans="1:6" x14ac:dyDescent="0.35">
      <c r="A72" s="1">
        <v>45498</v>
      </c>
      <c r="B72">
        <v>216.8</v>
      </c>
      <c r="C72">
        <v>226</v>
      </c>
      <c r="D72">
        <v>216.23099999999999</v>
      </c>
      <c r="E72">
        <v>220.25</v>
      </c>
      <c r="F72">
        <v>100636466</v>
      </c>
    </row>
    <row r="73" spans="1:6" x14ac:dyDescent="0.35">
      <c r="A73" s="1">
        <v>45499</v>
      </c>
      <c r="B73">
        <v>221.19</v>
      </c>
      <c r="C73">
        <v>222.2799</v>
      </c>
      <c r="D73">
        <v>215.33</v>
      </c>
      <c r="E73">
        <v>219.8</v>
      </c>
      <c r="F73">
        <v>94604145</v>
      </c>
    </row>
    <row r="74" spans="1:6" x14ac:dyDescent="0.35">
      <c r="A74" s="1">
        <v>45502</v>
      </c>
      <c r="B74">
        <v>224.9</v>
      </c>
      <c r="C74">
        <v>234.27</v>
      </c>
      <c r="D74">
        <v>224.7</v>
      </c>
      <c r="E74">
        <v>232.1</v>
      </c>
      <c r="F74">
        <v>129201789</v>
      </c>
    </row>
    <row r="75" spans="1:6" x14ac:dyDescent="0.35">
      <c r="A75" s="1">
        <v>45503</v>
      </c>
      <c r="B75">
        <v>232.25</v>
      </c>
      <c r="C75">
        <v>232.41</v>
      </c>
      <c r="D75">
        <v>220</v>
      </c>
      <c r="E75">
        <v>222.62</v>
      </c>
      <c r="F75">
        <v>100560334</v>
      </c>
    </row>
    <row r="76" spans="1:6" x14ac:dyDescent="0.35">
      <c r="A76" s="1">
        <v>45504</v>
      </c>
      <c r="B76">
        <v>227.9</v>
      </c>
      <c r="C76">
        <v>234.68</v>
      </c>
      <c r="D76">
        <v>226.78749999999999</v>
      </c>
      <c r="E76">
        <v>232.07</v>
      </c>
      <c r="F76">
        <v>67497011</v>
      </c>
    </row>
    <row r="77" spans="1:6" x14ac:dyDescent="0.35">
      <c r="A77" s="1">
        <v>45505</v>
      </c>
      <c r="B77">
        <v>227.69</v>
      </c>
      <c r="C77">
        <v>231.86699999999999</v>
      </c>
      <c r="D77">
        <v>214.33279999999999</v>
      </c>
      <c r="E77">
        <v>216.86</v>
      </c>
      <c r="F77">
        <v>83861898</v>
      </c>
    </row>
    <row r="78" spans="1:6" x14ac:dyDescent="0.35">
      <c r="A78" s="1">
        <v>45506</v>
      </c>
      <c r="B78">
        <v>214.88</v>
      </c>
      <c r="C78">
        <v>216.13</v>
      </c>
      <c r="D78">
        <v>205.78</v>
      </c>
      <c r="E78">
        <v>207.67</v>
      </c>
      <c r="F78">
        <v>82880120</v>
      </c>
    </row>
    <row r="79" spans="1:6" x14ac:dyDescent="0.35">
      <c r="A79" s="1">
        <v>45509</v>
      </c>
      <c r="B79">
        <v>185.22</v>
      </c>
      <c r="C79">
        <v>203.87989999999999</v>
      </c>
      <c r="D79">
        <v>182</v>
      </c>
      <c r="E79">
        <v>198.88</v>
      </c>
      <c r="F79">
        <v>100308836</v>
      </c>
    </row>
    <row r="80" spans="1:6" x14ac:dyDescent="0.35">
      <c r="A80" s="1">
        <v>45510</v>
      </c>
      <c r="B80">
        <v>200.75</v>
      </c>
      <c r="C80">
        <v>202.9</v>
      </c>
      <c r="D80">
        <v>192.67</v>
      </c>
      <c r="E80">
        <v>200.64</v>
      </c>
      <c r="F80">
        <v>73783942</v>
      </c>
    </row>
    <row r="81" spans="1:6" x14ac:dyDescent="0.35">
      <c r="A81" s="1">
        <v>45511</v>
      </c>
      <c r="B81">
        <v>200.77</v>
      </c>
      <c r="C81">
        <v>203.49</v>
      </c>
      <c r="D81">
        <v>191.48</v>
      </c>
      <c r="E81">
        <v>191.76</v>
      </c>
      <c r="F81">
        <v>71159778</v>
      </c>
    </row>
    <row r="82" spans="1:6" x14ac:dyDescent="0.35">
      <c r="A82" s="1">
        <v>45512</v>
      </c>
      <c r="B82">
        <v>195.7</v>
      </c>
      <c r="C82">
        <v>200.7</v>
      </c>
      <c r="D82">
        <v>192.04</v>
      </c>
      <c r="E82">
        <v>198.84</v>
      </c>
      <c r="F82">
        <v>65033874</v>
      </c>
    </row>
    <row r="83" spans="1:6" x14ac:dyDescent="0.35">
      <c r="A83" s="1">
        <v>45513</v>
      </c>
      <c r="B83">
        <v>197.05</v>
      </c>
      <c r="C83">
        <v>200.88</v>
      </c>
      <c r="D83">
        <v>195.11</v>
      </c>
      <c r="E83">
        <v>200</v>
      </c>
      <c r="F83">
        <v>58648274</v>
      </c>
    </row>
    <row r="84" spans="1:6" x14ac:dyDescent="0.35">
      <c r="A84" s="1">
        <v>45516</v>
      </c>
      <c r="B84">
        <v>199.02</v>
      </c>
      <c r="C84">
        <v>199.26</v>
      </c>
      <c r="D84">
        <v>194.67</v>
      </c>
      <c r="E84">
        <v>197.49</v>
      </c>
      <c r="F84">
        <v>64044903</v>
      </c>
    </row>
    <row r="85" spans="1:6" x14ac:dyDescent="0.35">
      <c r="A85" s="1">
        <v>45517</v>
      </c>
      <c r="B85">
        <v>198.47</v>
      </c>
      <c r="C85">
        <v>208.49</v>
      </c>
      <c r="D85">
        <v>197.06</v>
      </c>
      <c r="E85">
        <v>207.83</v>
      </c>
      <c r="F85">
        <v>76247387</v>
      </c>
    </row>
    <row r="86" spans="1:6" x14ac:dyDescent="0.35">
      <c r="A86" s="1">
        <v>45518</v>
      </c>
      <c r="B86">
        <v>207.39</v>
      </c>
      <c r="C86">
        <v>208.44</v>
      </c>
      <c r="D86">
        <v>198.75</v>
      </c>
      <c r="E86">
        <v>201.38</v>
      </c>
      <c r="F86">
        <v>70250014</v>
      </c>
    </row>
    <row r="87" spans="1:6" x14ac:dyDescent="0.35">
      <c r="A87" s="1">
        <v>45519</v>
      </c>
      <c r="B87">
        <v>205.02</v>
      </c>
      <c r="C87">
        <v>215.88</v>
      </c>
      <c r="D87">
        <v>204.82</v>
      </c>
      <c r="E87">
        <v>214.14</v>
      </c>
      <c r="F87">
        <v>89848530</v>
      </c>
    </row>
    <row r="88" spans="1:6" x14ac:dyDescent="0.35">
      <c r="A88" s="1">
        <v>45520</v>
      </c>
      <c r="B88">
        <v>211.15</v>
      </c>
      <c r="C88">
        <v>219.8</v>
      </c>
      <c r="D88">
        <v>210.8</v>
      </c>
      <c r="E88">
        <v>216.12</v>
      </c>
      <c r="F88">
        <v>88765122</v>
      </c>
    </row>
    <row r="89" spans="1:6" x14ac:dyDescent="0.35">
      <c r="A89" s="1">
        <v>45523</v>
      </c>
      <c r="B89">
        <v>217.07</v>
      </c>
      <c r="C89">
        <v>222.98</v>
      </c>
      <c r="D89">
        <v>214.09</v>
      </c>
      <c r="E89">
        <v>222.72</v>
      </c>
      <c r="F89">
        <v>76435222</v>
      </c>
    </row>
    <row r="90" spans="1:6" x14ac:dyDescent="0.35">
      <c r="A90" s="1">
        <v>45524</v>
      </c>
      <c r="B90">
        <v>224.88</v>
      </c>
      <c r="C90">
        <v>228.22</v>
      </c>
      <c r="D90">
        <v>219.56</v>
      </c>
      <c r="E90">
        <v>221.1</v>
      </c>
      <c r="F90">
        <v>74001182</v>
      </c>
    </row>
    <row r="91" spans="1:6" x14ac:dyDescent="0.35">
      <c r="A91" s="1">
        <v>45525</v>
      </c>
      <c r="B91">
        <v>222.67</v>
      </c>
      <c r="C91">
        <v>224.65940000000001</v>
      </c>
      <c r="D91">
        <v>218.86</v>
      </c>
      <c r="E91">
        <v>223.27</v>
      </c>
      <c r="F91">
        <v>70145964</v>
      </c>
    </row>
    <row r="92" spans="1:6" x14ac:dyDescent="0.35">
      <c r="A92" s="1">
        <v>45526</v>
      </c>
      <c r="B92">
        <v>223.82</v>
      </c>
      <c r="C92">
        <v>224.8</v>
      </c>
      <c r="D92">
        <v>210.32</v>
      </c>
      <c r="E92">
        <v>210.66</v>
      </c>
      <c r="F92">
        <v>79514482</v>
      </c>
    </row>
    <row r="93" spans="1:6" x14ac:dyDescent="0.35">
      <c r="A93" s="1">
        <v>45527</v>
      </c>
      <c r="B93">
        <v>214.45500000000001</v>
      </c>
      <c r="C93">
        <v>221.48</v>
      </c>
      <c r="D93">
        <v>214.21</v>
      </c>
      <c r="E93">
        <v>220.32</v>
      </c>
      <c r="F93">
        <v>81525207</v>
      </c>
    </row>
    <row r="94" spans="1:6" x14ac:dyDescent="0.35">
      <c r="A94" s="1">
        <v>45530</v>
      </c>
      <c r="B94">
        <v>218.75</v>
      </c>
      <c r="C94">
        <v>219.09</v>
      </c>
      <c r="D94">
        <v>211.01</v>
      </c>
      <c r="E94">
        <v>213.21</v>
      </c>
      <c r="F94">
        <v>59301187</v>
      </c>
    </row>
    <row r="95" spans="1:6" x14ac:dyDescent="0.35">
      <c r="A95" s="1">
        <v>45531</v>
      </c>
      <c r="B95">
        <v>213.25</v>
      </c>
      <c r="C95">
        <v>215.66</v>
      </c>
      <c r="D95">
        <v>206.94</v>
      </c>
      <c r="E95">
        <v>209.21</v>
      </c>
      <c r="F95">
        <v>62821390</v>
      </c>
    </row>
    <row r="96" spans="1:6" x14ac:dyDescent="0.35">
      <c r="A96" s="1">
        <v>45532</v>
      </c>
      <c r="B96">
        <v>209.72</v>
      </c>
      <c r="C96">
        <v>211.84</v>
      </c>
      <c r="D96">
        <v>202.59</v>
      </c>
      <c r="E96">
        <v>205.75</v>
      </c>
      <c r="F96">
        <v>64116350</v>
      </c>
    </row>
    <row r="97" spans="1:6" x14ac:dyDescent="0.35">
      <c r="A97" s="1">
        <v>45533</v>
      </c>
      <c r="B97">
        <v>209.8</v>
      </c>
      <c r="C97">
        <v>214.89</v>
      </c>
      <c r="D97">
        <v>205.97</v>
      </c>
      <c r="E97">
        <v>206.28</v>
      </c>
      <c r="F97">
        <v>62308818</v>
      </c>
    </row>
    <row r="98" spans="1:6" x14ac:dyDescent="0.35">
      <c r="A98" s="1">
        <v>45534</v>
      </c>
      <c r="B98">
        <v>208.63</v>
      </c>
      <c r="C98">
        <v>214.5701</v>
      </c>
      <c r="D98">
        <v>207.03</v>
      </c>
      <c r="E98">
        <v>214.11</v>
      </c>
      <c r="F98">
        <v>63370608</v>
      </c>
    </row>
    <row r="99" spans="1:6" x14ac:dyDescent="0.35">
      <c r="A99" s="1">
        <v>45538</v>
      </c>
      <c r="B99">
        <v>215.26</v>
      </c>
      <c r="C99">
        <v>219.90430000000001</v>
      </c>
      <c r="D99">
        <v>209.64</v>
      </c>
      <c r="E99">
        <v>210.6</v>
      </c>
      <c r="F99">
        <v>76714222</v>
      </c>
    </row>
    <row r="100" spans="1:6" x14ac:dyDescent="0.35">
      <c r="A100" s="1">
        <v>45539</v>
      </c>
      <c r="B100">
        <v>210.59</v>
      </c>
      <c r="C100">
        <v>222.22</v>
      </c>
      <c r="D100">
        <v>210.57</v>
      </c>
      <c r="E100">
        <v>219.41</v>
      </c>
      <c r="F100">
        <v>80217329</v>
      </c>
    </row>
    <row r="101" spans="1:6" x14ac:dyDescent="0.35">
      <c r="A101" s="1">
        <v>45540</v>
      </c>
      <c r="B101">
        <v>223.49</v>
      </c>
      <c r="C101">
        <v>235</v>
      </c>
      <c r="D101">
        <v>222.25</v>
      </c>
      <c r="E101">
        <v>230.17</v>
      </c>
      <c r="F101">
        <v>119355013</v>
      </c>
    </row>
    <row r="102" spans="1:6" x14ac:dyDescent="0.35">
      <c r="A102" s="1">
        <v>45541</v>
      </c>
      <c r="B102">
        <v>232.6</v>
      </c>
      <c r="C102">
        <v>233.6</v>
      </c>
      <c r="D102">
        <v>210.51</v>
      </c>
      <c r="E102">
        <v>210.73</v>
      </c>
      <c r="F102">
        <v>112177004</v>
      </c>
    </row>
    <row r="103" spans="1:6" x14ac:dyDescent="0.35">
      <c r="A103" s="1">
        <v>45544</v>
      </c>
      <c r="B103">
        <v>216.2</v>
      </c>
      <c r="C103">
        <v>219.87</v>
      </c>
      <c r="D103">
        <v>213.67</v>
      </c>
      <c r="E103">
        <v>216.27</v>
      </c>
      <c r="F103">
        <v>67443518</v>
      </c>
    </row>
    <row r="104" spans="1:6" x14ac:dyDescent="0.35">
      <c r="A104" s="1">
        <v>45545</v>
      </c>
      <c r="B104">
        <v>220.07</v>
      </c>
      <c r="C104">
        <v>226.4</v>
      </c>
      <c r="D104">
        <v>218.6377</v>
      </c>
      <c r="E104">
        <v>226.17</v>
      </c>
      <c r="F104">
        <v>78891136</v>
      </c>
    </row>
    <row r="105" spans="1:6" x14ac:dyDescent="0.35">
      <c r="A105" s="1">
        <v>45546</v>
      </c>
      <c r="B105">
        <v>224.55</v>
      </c>
      <c r="C105">
        <v>228.47</v>
      </c>
      <c r="D105">
        <v>216.80029999999999</v>
      </c>
      <c r="E105">
        <v>228.13</v>
      </c>
      <c r="F105">
        <v>83548633</v>
      </c>
    </row>
    <row r="106" spans="1:6" x14ac:dyDescent="0.35">
      <c r="A106" s="1">
        <v>45547</v>
      </c>
      <c r="B106">
        <v>224.66</v>
      </c>
      <c r="C106">
        <v>231.45</v>
      </c>
      <c r="D106">
        <v>223.83</v>
      </c>
      <c r="E106">
        <v>229.81</v>
      </c>
      <c r="F106">
        <v>72020042</v>
      </c>
    </row>
    <row r="107" spans="1:6" x14ac:dyDescent="0.35">
      <c r="A107" s="1">
        <v>45548</v>
      </c>
      <c r="B107">
        <v>228</v>
      </c>
      <c r="C107">
        <v>232.67</v>
      </c>
      <c r="D107">
        <v>226.32</v>
      </c>
      <c r="E107">
        <v>230.29</v>
      </c>
      <c r="F107">
        <v>59515114</v>
      </c>
    </row>
    <row r="108" spans="1:6" x14ac:dyDescent="0.35">
      <c r="A108" s="1">
        <v>45551</v>
      </c>
      <c r="B108">
        <v>229.3</v>
      </c>
      <c r="C108">
        <v>229.96</v>
      </c>
      <c r="D108">
        <v>223.53</v>
      </c>
      <c r="E108">
        <v>226.78</v>
      </c>
      <c r="F108">
        <v>54322995</v>
      </c>
    </row>
    <row r="109" spans="1:6" x14ac:dyDescent="0.35">
      <c r="A109" s="1">
        <v>45552</v>
      </c>
      <c r="B109">
        <v>229.45</v>
      </c>
      <c r="C109">
        <v>234.57</v>
      </c>
      <c r="D109">
        <v>226.55330000000001</v>
      </c>
      <c r="E109">
        <v>227.87</v>
      </c>
      <c r="F109">
        <v>66761636</v>
      </c>
    </row>
    <row r="110" spans="1:6" x14ac:dyDescent="0.35">
      <c r="A110" s="1">
        <v>45553</v>
      </c>
      <c r="B110">
        <v>230.09</v>
      </c>
      <c r="C110">
        <v>235.68</v>
      </c>
      <c r="D110">
        <v>226.88</v>
      </c>
      <c r="E110">
        <v>227.2</v>
      </c>
      <c r="F110">
        <v>78010204</v>
      </c>
    </row>
    <row r="111" spans="1:6" x14ac:dyDescent="0.35">
      <c r="A111" s="1">
        <v>45554</v>
      </c>
      <c r="B111">
        <v>234</v>
      </c>
      <c r="C111">
        <v>244.24</v>
      </c>
      <c r="D111">
        <v>232.13</v>
      </c>
      <c r="E111">
        <v>243.92</v>
      </c>
      <c r="F111">
        <v>102694576</v>
      </c>
    </row>
    <row r="112" spans="1:6" x14ac:dyDescent="0.35">
      <c r="A112" s="1">
        <v>45555</v>
      </c>
      <c r="B112">
        <v>241.52</v>
      </c>
      <c r="C112">
        <v>243.99</v>
      </c>
      <c r="D112">
        <v>235.92</v>
      </c>
      <c r="E112">
        <v>238.25</v>
      </c>
      <c r="F112">
        <v>99879070</v>
      </c>
    </row>
    <row r="113" spans="1:6" x14ac:dyDescent="0.35">
      <c r="A113" s="1">
        <v>45558</v>
      </c>
      <c r="B113">
        <v>242.61</v>
      </c>
      <c r="C113">
        <v>250</v>
      </c>
      <c r="D113">
        <v>241.92</v>
      </c>
      <c r="E113">
        <v>250</v>
      </c>
      <c r="F113">
        <v>86927194</v>
      </c>
    </row>
    <row r="114" spans="1:6" x14ac:dyDescent="0.35">
      <c r="A114" s="1">
        <v>45559</v>
      </c>
      <c r="B114">
        <v>254.08</v>
      </c>
      <c r="C114">
        <v>257.19</v>
      </c>
      <c r="D114">
        <v>249.05009999999999</v>
      </c>
      <c r="E114">
        <v>254.27</v>
      </c>
      <c r="F114">
        <v>88490999</v>
      </c>
    </row>
    <row r="115" spans="1:6" x14ac:dyDescent="0.35">
      <c r="A115" s="1">
        <v>45560</v>
      </c>
      <c r="B115">
        <v>252.54</v>
      </c>
      <c r="C115">
        <v>257.05</v>
      </c>
      <c r="D115">
        <v>252.28</v>
      </c>
      <c r="E115">
        <v>257.02</v>
      </c>
      <c r="F115">
        <v>65034318</v>
      </c>
    </row>
    <row r="116" spans="1:6" x14ac:dyDescent="0.35">
      <c r="A116" s="1">
        <v>45561</v>
      </c>
      <c r="B116">
        <v>260.60000000000002</v>
      </c>
      <c r="C116">
        <v>261.75</v>
      </c>
      <c r="D116">
        <v>251.53</v>
      </c>
      <c r="E116">
        <v>254.22</v>
      </c>
      <c r="F116">
        <v>67142193</v>
      </c>
    </row>
    <row r="117" spans="1:6" x14ac:dyDescent="0.35">
      <c r="A117" s="1">
        <v>45562</v>
      </c>
      <c r="B117">
        <v>257.375</v>
      </c>
      <c r="C117">
        <v>260.69990000000001</v>
      </c>
      <c r="D117">
        <v>254.12</v>
      </c>
      <c r="E117">
        <v>260.45999999999998</v>
      </c>
      <c r="F117">
        <v>70988067</v>
      </c>
    </row>
    <row r="118" spans="1:6" x14ac:dyDescent="0.35">
      <c r="A118" s="1">
        <v>45565</v>
      </c>
      <c r="B118">
        <v>259.04000000000002</v>
      </c>
      <c r="C118">
        <v>264.86</v>
      </c>
      <c r="D118">
        <v>255.77</v>
      </c>
      <c r="E118">
        <v>261.63</v>
      </c>
      <c r="F118">
        <v>80873381</v>
      </c>
    </row>
    <row r="119" spans="1:6" x14ac:dyDescent="0.35">
      <c r="A119" s="1">
        <v>45566</v>
      </c>
      <c r="B119">
        <v>262.67</v>
      </c>
      <c r="C119">
        <v>263.98</v>
      </c>
      <c r="D119">
        <v>248.53</v>
      </c>
      <c r="E119">
        <v>258.02</v>
      </c>
      <c r="F119">
        <v>87397613</v>
      </c>
    </row>
    <row r="120" spans="1:6" x14ac:dyDescent="0.35">
      <c r="A120" s="1">
        <v>45567</v>
      </c>
      <c r="B120">
        <v>247.55</v>
      </c>
      <c r="C120">
        <v>251.1585</v>
      </c>
      <c r="D120">
        <v>241.5</v>
      </c>
      <c r="E120">
        <v>249.02</v>
      </c>
      <c r="F120">
        <v>93983930</v>
      </c>
    </row>
    <row r="121" spans="1:6" x14ac:dyDescent="0.35">
      <c r="A121" s="1">
        <v>45568</v>
      </c>
      <c r="B121">
        <v>244.48</v>
      </c>
      <c r="C121">
        <v>249.79</v>
      </c>
      <c r="D121">
        <v>237.81</v>
      </c>
      <c r="E121">
        <v>240.66</v>
      </c>
      <c r="F121">
        <v>80729240</v>
      </c>
    </row>
    <row r="122" spans="1:6" x14ac:dyDescent="0.35">
      <c r="A122" s="1">
        <v>45569</v>
      </c>
      <c r="B122">
        <v>246.69</v>
      </c>
      <c r="C122">
        <v>250.96</v>
      </c>
      <c r="D122">
        <v>244.58</v>
      </c>
      <c r="E122">
        <v>250.08</v>
      </c>
      <c r="F122">
        <v>86726285</v>
      </c>
    </row>
    <row r="123" spans="1:6" x14ac:dyDescent="0.35">
      <c r="A123" s="1">
        <v>45572</v>
      </c>
      <c r="B123">
        <v>249</v>
      </c>
      <c r="C123">
        <v>249.83</v>
      </c>
      <c r="D123">
        <v>240.7</v>
      </c>
      <c r="E123">
        <v>240.83</v>
      </c>
      <c r="F123">
        <v>68113270</v>
      </c>
    </row>
    <row r="124" spans="1:6" x14ac:dyDescent="0.35">
      <c r="A124" s="1">
        <v>45573</v>
      </c>
      <c r="B124">
        <v>243.56</v>
      </c>
      <c r="C124">
        <v>246.21</v>
      </c>
      <c r="D124">
        <v>240.56</v>
      </c>
      <c r="E124">
        <v>244.5</v>
      </c>
      <c r="F124">
        <v>56303160</v>
      </c>
    </row>
    <row r="125" spans="1:6" x14ac:dyDescent="0.35">
      <c r="A125" s="1">
        <v>45574</v>
      </c>
      <c r="B125">
        <v>243.82</v>
      </c>
      <c r="C125">
        <v>247.43</v>
      </c>
      <c r="D125">
        <v>239.51</v>
      </c>
      <c r="E125">
        <v>241.05</v>
      </c>
      <c r="F125">
        <v>66289529</v>
      </c>
    </row>
    <row r="126" spans="1:6" x14ac:dyDescent="0.35">
      <c r="A126" s="1">
        <v>45575</v>
      </c>
      <c r="B126">
        <v>241.81</v>
      </c>
      <c r="C126">
        <v>242.78989999999999</v>
      </c>
      <c r="D126">
        <v>232.34</v>
      </c>
      <c r="E126">
        <v>238.77</v>
      </c>
      <c r="F126">
        <v>83087063</v>
      </c>
    </row>
    <row r="127" spans="1:6" x14ac:dyDescent="0.35">
      <c r="A127" s="1">
        <v>45576</v>
      </c>
      <c r="B127">
        <v>220.13</v>
      </c>
      <c r="C127">
        <v>223.34</v>
      </c>
      <c r="D127">
        <v>214.38</v>
      </c>
      <c r="E127">
        <v>217.8</v>
      </c>
      <c r="F127">
        <v>142628874</v>
      </c>
    </row>
    <row r="128" spans="1:6" x14ac:dyDescent="0.35">
      <c r="A128" s="1">
        <v>45579</v>
      </c>
      <c r="B128">
        <v>220.13</v>
      </c>
      <c r="C128">
        <v>221.91</v>
      </c>
      <c r="D128">
        <v>213.74</v>
      </c>
      <c r="E128">
        <v>219.16</v>
      </c>
      <c r="F128">
        <v>86291923</v>
      </c>
    </row>
    <row r="129" spans="1:6" x14ac:dyDescent="0.35">
      <c r="A129" s="1">
        <v>45580</v>
      </c>
      <c r="B129">
        <v>220.01</v>
      </c>
      <c r="C129">
        <v>224.26</v>
      </c>
      <c r="D129">
        <v>217.12</v>
      </c>
      <c r="E129">
        <v>219.57</v>
      </c>
      <c r="F129">
        <v>62988787</v>
      </c>
    </row>
    <row r="130" spans="1:6" x14ac:dyDescent="0.35">
      <c r="A130" s="1">
        <v>45581</v>
      </c>
      <c r="B130">
        <v>221.4</v>
      </c>
      <c r="C130">
        <v>222.81989999999999</v>
      </c>
      <c r="D130">
        <v>218.93</v>
      </c>
      <c r="E130">
        <v>221.33</v>
      </c>
      <c r="F130">
        <v>49632824</v>
      </c>
    </row>
    <row r="131" spans="1:6" x14ac:dyDescent="0.35">
      <c r="A131" s="1">
        <v>45582</v>
      </c>
      <c r="B131">
        <v>221.59</v>
      </c>
      <c r="C131">
        <v>222.08</v>
      </c>
      <c r="D131">
        <v>217.9</v>
      </c>
      <c r="E131">
        <v>220.89</v>
      </c>
      <c r="F131">
        <v>50791784</v>
      </c>
    </row>
    <row r="132" spans="1:6" x14ac:dyDescent="0.35">
      <c r="A132" s="1">
        <v>45583</v>
      </c>
      <c r="B132">
        <v>220.71</v>
      </c>
      <c r="C132">
        <v>222.28</v>
      </c>
      <c r="D132">
        <v>219.23</v>
      </c>
      <c r="E132">
        <v>220.7</v>
      </c>
      <c r="F132">
        <v>49611867</v>
      </c>
    </row>
    <row r="133" spans="1:6" x14ac:dyDescent="0.35">
      <c r="A133" s="1">
        <v>45586</v>
      </c>
      <c r="B133">
        <v>218.9</v>
      </c>
      <c r="C133">
        <v>220.48</v>
      </c>
      <c r="D133">
        <v>215.726</v>
      </c>
      <c r="E133">
        <v>218.85</v>
      </c>
      <c r="F133">
        <v>47328988</v>
      </c>
    </row>
    <row r="134" spans="1:6" x14ac:dyDescent="0.35">
      <c r="A134" s="1">
        <v>45587</v>
      </c>
      <c r="B134">
        <v>217.31</v>
      </c>
      <c r="C134">
        <v>218.22</v>
      </c>
      <c r="D134">
        <v>215.26</v>
      </c>
      <c r="E134">
        <v>217.97</v>
      </c>
      <c r="F134">
        <v>43268741</v>
      </c>
    </row>
    <row r="135" spans="1:6" x14ac:dyDescent="0.35">
      <c r="A135" s="1">
        <v>45588</v>
      </c>
      <c r="B135">
        <v>217.125</v>
      </c>
      <c r="C135">
        <v>218.72</v>
      </c>
      <c r="D135">
        <v>212.11</v>
      </c>
      <c r="E135">
        <v>213.65</v>
      </c>
      <c r="F135">
        <v>80938892</v>
      </c>
    </row>
    <row r="136" spans="1:6" x14ac:dyDescent="0.35">
      <c r="A136" s="1">
        <v>45589</v>
      </c>
      <c r="B136">
        <v>244.68</v>
      </c>
      <c r="C136">
        <v>262.11989999999997</v>
      </c>
      <c r="D136">
        <v>242.65</v>
      </c>
      <c r="E136">
        <v>260.48</v>
      </c>
      <c r="F136">
        <v>204491903</v>
      </c>
    </row>
    <row r="137" spans="1:6" x14ac:dyDescent="0.35">
      <c r="A137" s="1">
        <v>45590</v>
      </c>
      <c r="B137">
        <v>256.01</v>
      </c>
      <c r="C137">
        <v>269.49</v>
      </c>
      <c r="D137">
        <v>255.32</v>
      </c>
      <c r="E137">
        <v>269.19</v>
      </c>
      <c r="F137">
        <v>161611931</v>
      </c>
    </row>
    <row r="138" spans="1:6" x14ac:dyDescent="0.35">
      <c r="A138" s="1">
        <v>45593</v>
      </c>
      <c r="B138">
        <v>270</v>
      </c>
      <c r="C138">
        <v>273.536</v>
      </c>
      <c r="D138">
        <v>262.24</v>
      </c>
      <c r="E138">
        <v>262.51</v>
      </c>
      <c r="F138">
        <v>107653603</v>
      </c>
    </row>
    <row r="139" spans="1:6" x14ac:dyDescent="0.35">
      <c r="A139" s="1">
        <v>45594</v>
      </c>
      <c r="B139">
        <v>264.51</v>
      </c>
      <c r="C139">
        <v>264.98</v>
      </c>
      <c r="D139">
        <v>255.51</v>
      </c>
      <c r="E139">
        <v>259.52</v>
      </c>
      <c r="F139">
        <v>80521751</v>
      </c>
    </row>
    <row r="140" spans="1:6" x14ac:dyDescent="0.35">
      <c r="A140" s="1">
        <v>45595</v>
      </c>
      <c r="B140">
        <v>258.03500000000003</v>
      </c>
      <c r="C140">
        <v>263.35000000000002</v>
      </c>
      <c r="D140">
        <v>255.8201</v>
      </c>
      <c r="E140">
        <v>257.55</v>
      </c>
      <c r="F140">
        <v>53993576</v>
      </c>
    </row>
    <row r="141" spans="1:6" x14ac:dyDescent="0.35">
      <c r="A141" s="1">
        <v>45596</v>
      </c>
      <c r="B141">
        <v>257.99</v>
      </c>
      <c r="C141">
        <v>259.75</v>
      </c>
      <c r="D141">
        <v>249.25</v>
      </c>
      <c r="E141">
        <v>249.85</v>
      </c>
      <c r="F141">
        <v>66575292</v>
      </c>
    </row>
    <row r="142" spans="1:6" x14ac:dyDescent="0.35">
      <c r="A142" s="1">
        <v>45597</v>
      </c>
      <c r="B142">
        <v>252.04300000000001</v>
      </c>
      <c r="C142">
        <v>254</v>
      </c>
      <c r="D142">
        <v>246.63</v>
      </c>
      <c r="E142">
        <v>248.98</v>
      </c>
      <c r="F142">
        <v>57544757</v>
      </c>
    </row>
    <row r="143" spans="1:6" x14ac:dyDescent="0.35">
      <c r="A143" s="1">
        <v>45600</v>
      </c>
      <c r="B143">
        <v>244.56</v>
      </c>
      <c r="C143">
        <v>248.9</v>
      </c>
      <c r="D143">
        <v>238.88</v>
      </c>
      <c r="E143">
        <v>242.84</v>
      </c>
      <c r="F143">
        <v>68802354</v>
      </c>
    </row>
    <row r="144" spans="1:6" x14ac:dyDescent="0.35">
      <c r="A144" s="1">
        <v>45601</v>
      </c>
      <c r="B144">
        <v>247.34</v>
      </c>
      <c r="C144">
        <v>255.2799</v>
      </c>
      <c r="D144">
        <v>246.21010000000001</v>
      </c>
      <c r="E144">
        <v>251.44</v>
      </c>
      <c r="F144">
        <v>69282505</v>
      </c>
    </row>
    <row r="145" spans="1:6" x14ac:dyDescent="0.35">
      <c r="A145" s="1">
        <v>45602</v>
      </c>
      <c r="B145">
        <v>284.67</v>
      </c>
      <c r="C145">
        <v>289.58999999999997</v>
      </c>
      <c r="D145">
        <v>275.62</v>
      </c>
      <c r="E145">
        <v>288.52999999999997</v>
      </c>
      <c r="F145">
        <v>165228710</v>
      </c>
    </row>
    <row r="146" spans="1:6" x14ac:dyDescent="0.35">
      <c r="A146" s="1">
        <v>45603</v>
      </c>
      <c r="B146">
        <v>288.89</v>
      </c>
      <c r="C146">
        <v>299.75</v>
      </c>
      <c r="D146">
        <v>285.52</v>
      </c>
      <c r="E146">
        <v>296.91000000000003</v>
      </c>
      <c r="F146">
        <v>117309232</v>
      </c>
    </row>
    <row r="147" spans="1:6" x14ac:dyDescent="0.35">
      <c r="A147" s="1">
        <v>45604</v>
      </c>
      <c r="B147">
        <v>299.14</v>
      </c>
      <c r="C147">
        <v>328.71</v>
      </c>
      <c r="D147">
        <v>297.66000000000003</v>
      </c>
      <c r="E147">
        <v>321.22000000000003</v>
      </c>
      <c r="F147">
        <v>204782763</v>
      </c>
    </row>
    <row r="148" spans="1:6" x14ac:dyDescent="0.35">
      <c r="A148" s="1">
        <v>45607</v>
      </c>
      <c r="B148">
        <v>346.3</v>
      </c>
      <c r="C148">
        <v>358.64</v>
      </c>
      <c r="D148">
        <v>336</v>
      </c>
      <c r="E148">
        <v>350</v>
      </c>
      <c r="F148">
        <v>210521625</v>
      </c>
    </row>
    <row r="149" spans="1:6" x14ac:dyDescent="0.35">
      <c r="A149" s="1">
        <v>45608</v>
      </c>
      <c r="B149">
        <v>342.74</v>
      </c>
      <c r="C149">
        <v>345.84</v>
      </c>
      <c r="D149">
        <v>323.31</v>
      </c>
      <c r="E149">
        <v>328.49</v>
      </c>
      <c r="F149">
        <v>155726016</v>
      </c>
    </row>
    <row r="150" spans="1:6" x14ac:dyDescent="0.35">
      <c r="A150" s="1">
        <v>45609</v>
      </c>
      <c r="B150">
        <v>335.85</v>
      </c>
      <c r="C150">
        <v>344.59989999999999</v>
      </c>
      <c r="D150">
        <v>322.5</v>
      </c>
      <c r="E150">
        <v>330.24</v>
      </c>
      <c r="F150">
        <v>125405599</v>
      </c>
    </row>
    <row r="151" spans="1:6" x14ac:dyDescent="0.35">
      <c r="A151" s="1">
        <v>45610</v>
      </c>
      <c r="B151">
        <v>327.69</v>
      </c>
      <c r="C151">
        <v>329.98</v>
      </c>
      <c r="D151">
        <v>310.37</v>
      </c>
      <c r="E151">
        <v>311.18</v>
      </c>
      <c r="F151">
        <v>120726109</v>
      </c>
    </row>
    <row r="152" spans="1:6" x14ac:dyDescent="0.35">
      <c r="A152" s="1">
        <v>45611</v>
      </c>
      <c r="B152">
        <v>310.57</v>
      </c>
      <c r="C152">
        <v>324.67989999999998</v>
      </c>
      <c r="D152">
        <v>309.22000000000003</v>
      </c>
      <c r="E152">
        <v>320.72000000000003</v>
      </c>
      <c r="F152">
        <v>114440286</v>
      </c>
    </row>
    <row r="153" spans="1:6" x14ac:dyDescent="0.35">
      <c r="A153" s="1">
        <v>45614</v>
      </c>
      <c r="B153">
        <v>340.73</v>
      </c>
      <c r="C153">
        <v>348.54989999999998</v>
      </c>
      <c r="D153">
        <v>330.01</v>
      </c>
      <c r="E153">
        <v>338.74</v>
      </c>
      <c r="F153">
        <v>126547455</v>
      </c>
    </row>
    <row r="154" spans="1:6" x14ac:dyDescent="0.35">
      <c r="A154" s="1">
        <v>45615</v>
      </c>
      <c r="B154">
        <v>335.76</v>
      </c>
      <c r="C154">
        <v>347.37990000000002</v>
      </c>
      <c r="D154">
        <v>332.75</v>
      </c>
      <c r="E154">
        <v>346</v>
      </c>
      <c r="F154">
        <v>88852452</v>
      </c>
    </row>
    <row r="155" spans="1:6" x14ac:dyDescent="0.35">
      <c r="A155" s="1">
        <v>45616</v>
      </c>
      <c r="B155">
        <v>345</v>
      </c>
      <c r="C155">
        <v>346.59989999999999</v>
      </c>
      <c r="D155">
        <v>334.3</v>
      </c>
      <c r="E155">
        <v>342.03</v>
      </c>
      <c r="F155">
        <v>66340650</v>
      </c>
    </row>
    <row r="156" spans="1:6" x14ac:dyDescent="0.35">
      <c r="A156" s="1">
        <v>45617</v>
      </c>
      <c r="B156">
        <v>343.81</v>
      </c>
      <c r="C156">
        <v>347.98989999999998</v>
      </c>
      <c r="D156">
        <v>335.28</v>
      </c>
      <c r="E156">
        <v>339.64</v>
      </c>
      <c r="F156">
        <v>58011719</v>
      </c>
    </row>
    <row r="157" spans="1:6" x14ac:dyDescent="0.35">
      <c r="A157" s="1">
        <v>45618</v>
      </c>
      <c r="B157">
        <v>341.08499999999998</v>
      </c>
      <c r="C157">
        <v>361.53</v>
      </c>
      <c r="D157">
        <v>337.7</v>
      </c>
      <c r="E157">
        <v>352.56</v>
      </c>
      <c r="F157">
        <v>89140722</v>
      </c>
    </row>
    <row r="158" spans="1:6" x14ac:dyDescent="0.35">
      <c r="A158" s="1">
        <v>45621</v>
      </c>
      <c r="B158">
        <v>360.14</v>
      </c>
      <c r="C158">
        <v>361.93</v>
      </c>
      <c r="D158">
        <v>338.2</v>
      </c>
      <c r="E158">
        <v>338.59</v>
      </c>
      <c r="F158">
        <v>95890899</v>
      </c>
    </row>
    <row r="159" spans="1:6" x14ac:dyDescent="0.35">
      <c r="A159" s="1">
        <v>45622</v>
      </c>
      <c r="B159">
        <v>341</v>
      </c>
      <c r="C159">
        <v>346.96</v>
      </c>
      <c r="D159">
        <v>335.66</v>
      </c>
      <c r="E159">
        <v>338.23</v>
      </c>
      <c r="F159">
        <v>62295857</v>
      </c>
    </row>
    <row r="160" spans="1:6" x14ac:dyDescent="0.35">
      <c r="A160" s="1">
        <v>45623</v>
      </c>
      <c r="B160">
        <v>341.8</v>
      </c>
      <c r="C160">
        <v>342.55</v>
      </c>
      <c r="D160">
        <v>326.58999999999997</v>
      </c>
      <c r="E160">
        <v>332.89</v>
      </c>
      <c r="F160">
        <v>57896439</v>
      </c>
    </row>
    <row r="161" spans="1:6" x14ac:dyDescent="0.35">
      <c r="A161" s="1">
        <v>45625</v>
      </c>
      <c r="B161">
        <v>336.08</v>
      </c>
      <c r="C161">
        <v>345.45</v>
      </c>
      <c r="D161">
        <v>334.65</v>
      </c>
      <c r="E161">
        <v>345.16</v>
      </c>
      <c r="F161">
        <v>37167621</v>
      </c>
    </row>
    <row r="162" spans="1:6" x14ac:dyDescent="0.35">
      <c r="A162" s="1">
        <v>45628</v>
      </c>
      <c r="B162">
        <v>352.38</v>
      </c>
      <c r="C162">
        <v>360</v>
      </c>
      <c r="D162">
        <v>351.15010000000001</v>
      </c>
      <c r="E162">
        <v>357.09</v>
      </c>
      <c r="F162">
        <v>77986478</v>
      </c>
    </row>
    <row r="163" spans="1:6" x14ac:dyDescent="0.35">
      <c r="A163" s="1">
        <v>45629</v>
      </c>
      <c r="B163">
        <v>351.8</v>
      </c>
      <c r="C163">
        <v>355.69</v>
      </c>
      <c r="D163">
        <v>348.2</v>
      </c>
      <c r="E163">
        <v>351.42</v>
      </c>
      <c r="F163">
        <v>58267196</v>
      </c>
    </row>
    <row r="164" spans="1:6" x14ac:dyDescent="0.35">
      <c r="A164" s="1">
        <v>45630</v>
      </c>
      <c r="B164">
        <v>353</v>
      </c>
      <c r="C164">
        <v>358.1</v>
      </c>
      <c r="D164">
        <v>348.6</v>
      </c>
      <c r="E164">
        <v>357.93</v>
      </c>
      <c r="F164">
        <v>50810874</v>
      </c>
    </row>
    <row r="165" spans="1:6" x14ac:dyDescent="0.35">
      <c r="A165" s="1">
        <v>45631</v>
      </c>
      <c r="B165">
        <v>359.87</v>
      </c>
      <c r="C165">
        <v>375.43</v>
      </c>
      <c r="D165">
        <v>359.5</v>
      </c>
      <c r="E165">
        <v>369.49</v>
      </c>
      <c r="F165">
        <v>81403569</v>
      </c>
    </row>
    <row r="166" spans="1:6" x14ac:dyDescent="0.35">
      <c r="A166" s="1">
        <v>45632</v>
      </c>
      <c r="B166">
        <v>377.42</v>
      </c>
      <c r="C166">
        <v>389.49</v>
      </c>
      <c r="D166">
        <v>370.8</v>
      </c>
      <c r="E166">
        <v>389.22</v>
      </c>
      <c r="F166">
        <v>81455834</v>
      </c>
    </row>
    <row r="167" spans="1:6" x14ac:dyDescent="0.35">
      <c r="A167" s="1">
        <v>45635</v>
      </c>
      <c r="B167">
        <v>397.61</v>
      </c>
      <c r="C167">
        <v>404.8</v>
      </c>
      <c r="D167">
        <v>378.01</v>
      </c>
      <c r="E167">
        <v>389.79</v>
      </c>
      <c r="F167">
        <v>96359173</v>
      </c>
    </row>
    <row r="168" spans="1:6" x14ac:dyDescent="0.35">
      <c r="A168" s="1">
        <v>45636</v>
      </c>
      <c r="B168">
        <v>392.68</v>
      </c>
      <c r="C168">
        <v>409.73</v>
      </c>
      <c r="D168">
        <v>390.85</v>
      </c>
      <c r="E168">
        <v>400.99</v>
      </c>
      <c r="F168">
        <v>97563578</v>
      </c>
    </row>
    <row r="169" spans="1:6" x14ac:dyDescent="0.35">
      <c r="A169" s="1">
        <v>45637</v>
      </c>
      <c r="B169">
        <v>409.7</v>
      </c>
      <c r="C169">
        <v>424.88</v>
      </c>
      <c r="D169">
        <v>402.38</v>
      </c>
      <c r="E169">
        <v>424.77</v>
      </c>
      <c r="F169">
        <v>104287559</v>
      </c>
    </row>
    <row r="170" spans="1:6" x14ac:dyDescent="0.35">
      <c r="A170" s="1">
        <v>45638</v>
      </c>
      <c r="B170">
        <v>424.84</v>
      </c>
      <c r="C170">
        <v>429.3</v>
      </c>
      <c r="D170">
        <v>415</v>
      </c>
      <c r="E170">
        <v>418.1</v>
      </c>
      <c r="F170">
        <v>87752225</v>
      </c>
    </row>
    <row r="171" spans="1:6" x14ac:dyDescent="0.35">
      <c r="A171" s="1">
        <v>45639</v>
      </c>
      <c r="B171">
        <v>420</v>
      </c>
      <c r="C171">
        <v>436.3</v>
      </c>
      <c r="D171">
        <v>415.71</v>
      </c>
      <c r="E171">
        <v>436.23</v>
      </c>
      <c r="F171">
        <v>89000158</v>
      </c>
    </row>
    <row r="172" spans="1:6" x14ac:dyDescent="0.35">
      <c r="A172" s="1">
        <v>45642</v>
      </c>
      <c r="B172">
        <v>441.09</v>
      </c>
      <c r="C172">
        <v>463.19</v>
      </c>
      <c r="D172">
        <v>436.15</v>
      </c>
      <c r="E172">
        <v>463.02</v>
      </c>
      <c r="F172">
        <v>114083811</v>
      </c>
    </row>
    <row r="173" spans="1:6" x14ac:dyDescent="0.35">
      <c r="A173" s="1">
        <v>45643</v>
      </c>
      <c r="B173">
        <v>475.9</v>
      </c>
      <c r="C173">
        <v>483.99</v>
      </c>
      <c r="D173">
        <v>457.51010000000002</v>
      </c>
      <c r="E173">
        <v>479.86</v>
      </c>
      <c r="F173">
        <v>131222978</v>
      </c>
    </row>
    <row r="174" spans="1:6" x14ac:dyDescent="0.35">
      <c r="A174" s="1">
        <v>45644</v>
      </c>
      <c r="B174">
        <v>466.495</v>
      </c>
      <c r="C174">
        <v>488.53989999999999</v>
      </c>
      <c r="D174">
        <v>427.01</v>
      </c>
      <c r="E174">
        <v>440.13</v>
      </c>
      <c r="F174">
        <v>149340788</v>
      </c>
    </row>
    <row r="175" spans="1:6" x14ac:dyDescent="0.35">
      <c r="A175" s="1">
        <v>45645</v>
      </c>
      <c r="B175">
        <v>451.88</v>
      </c>
      <c r="C175">
        <v>456.36</v>
      </c>
      <c r="D175">
        <v>420.02</v>
      </c>
      <c r="E175">
        <v>436.17</v>
      </c>
      <c r="F175">
        <v>118566146</v>
      </c>
    </row>
    <row r="176" spans="1:6" x14ac:dyDescent="0.35">
      <c r="A176" s="1">
        <v>45646</v>
      </c>
      <c r="B176">
        <v>425.505</v>
      </c>
      <c r="C176">
        <v>447.08</v>
      </c>
      <c r="D176">
        <v>417.64</v>
      </c>
      <c r="E176">
        <v>421.06</v>
      </c>
      <c r="F176">
        <v>132216176</v>
      </c>
    </row>
    <row r="177" spans="1:6" x14ac:dyDescent="0.35">
      <c r="A177" s="1">
        <v>45649</v>
      </c>
      <c r="B177">
        <v>431</v>
      </c>
      <c r="C177">
        <v>434.51</v>
      </c>
      <c r="D177">
        <v>415.41120000000001</v>
      </c>
      <c r="E177">
        <v>430.6</v>
      </c>
      <c r="F177">
        <v>72698055</v>
      </c>
    </row>
    <row r="178" spans="1:6" x14ac:dyDescent="0.35">
      <c r="A178" s="1">
        <v>45650</v>
      </c>
      <c r="B178">
        <v>435.9</v>
      </c>
      <c r="C178">
        <v>462.78</v>
      </c>
      <c r="D178">
        <v>435.14</v>
      </c>
      <c r="E178">
        <v>462.28</v>
      </c>
      <c r="F178">
        <v>59551750</v>
      </c>
    </row>
    <row r="179" spans="1:6" x14ac:dyDescent="0.35">
      <c r="A179" s="1">
        <v>45652</v>
      </c>
      <c r="B179">
        <v>465.16</v>
      </c>
      <c r="C179">
        <v>465.32990000000001</v>
      </c>
      <c r="D179">
        <v>451.02</v>
      </c>
      <c r="E179">
        <v>454.13</v>
      </c>
      <c r="F179">
        <v>76651210</v>
      </c>
    </row>
    <row r="180" spans="1:6" x14ac:dyDescent="0.35">
      <c r="A180" s="1">
        <v>45653</v>
      </c>
      <c r="B180">
        <v>449.52</v>
      </c>
      <c r="C180">
        <v>450</v>
      </c>
      <c r="D180">
        <v>426.5</v>
      </c>
      <c r="E180">
        <v>431.66</v>
      </c>
      <c r="F180">
        <v>82666821</v>
      </c>
    </row>
    <row r="181" spans="1:6" x14ac:dyDescent="0.35">
      <c r="A181" s="1">
        <v>45656</v>
      </c>
      <c r="B181">
        <v>419.4</v>
      </c>
      <c r="C181">
        <v>427</v>
      </c>
      <c r="D181">
        <v>415.75</v>
      </c>
      <c r="E181">
        <v>417.41</v>
      </c>
      <c r="F181">
        <v>64941012</v>
      </c>
    </row>
    <row r="182" spans="1:6" x14ac:dyDescent="0.35">
      <c r="A182" s="1">
        <v>45657</v>
      </c>
      <c r="B182">
        <v>423.79</v>
      </c>
      <c r="C182">
        <v>427.93</v>
      </c>
      <c r="D182">
        <v>402.54</v>
      </c>
      <c r="E182">
        <v>403.84</v>
      </c>
      <c r="F182">
        <v>76825121</v>
      </c>
    </row>
    <row r="183" spans="1:6" x14ac:dyDescent="0.35">
      <c r="A183" s="1">
        <v>45659</v>
      </c>
      <c r="B183">
        <v>390.1</v>
      </c>
      <c r="C183">
        <v>392.72989999999999</v>
      </c>
      <c r="D183">
        <v>373.04</v>
      </c>
      <c r="E183">
        <v>379.28</v>
      </c>
      <c r="F183">
        <v>109710749</v>
      </c>
    </row>
    <row r="184" spans="1:6" x14ac:dyDescent="0.35">
      <c r="A184" s="1">
        <v>45660</v>
      </c>
      <c r="B184">
        <v>381.48</v>
      </c>
      <c r="C184">
        <v>411.87990000000002</v>
      </c>
      <c r="D184">
        <v>379.45</v>
      </c>
      <c r="E184">
        <v>410.44</v>
      </c>
      <c r="F184">
        <v>95423329</v>
      </c>
    </row>
    <row r="185" spans="1:6" x14ac:dyDescent="0.35">
      <c r="A185" s="1">
        <v>45663</v>
      </c>
      <c r="B185">
        <v>423.2</v>
      </c>
      <c r="C185">
        <v>426.43</v>
      </c>
      <c r="D185">
        <v>401.7</v>
      </c>
      <c r="E185">
        <v>411.05</v>
      </c>
      <c r="F185">
        <v>85516534</v>
      </c>
    </row>
    <row r="186" spans="1:6" x14ac:dyDescent="0.35">
      <c r="A186" s="1">
        <v>45664</v>
      </c>
      <c r="B186">
        <v>405.83</v>
      </c>
      <c r="C186">
        <v>414.33</v>
      </c>
      <c r="D186">
        <v>390</v>
      </c>
      <c r="E186">
        <v>394.36</v>
      </c>
      <c r="F186">
        <v>75699525</v>
      </c>
    </row>
    <row r="187" spans="1:6" x14ac:dyDescent="0.35">
      <c r="A187" s="1">
        <v>45665</v>
      </c>
      <c r="B187">
        <v>392.95</v>
      </c>
      <c r="C187">
        <v>402.49990000000003</v>
      </c>
      <c r="D187">
        <v>387.4</v>
      </c>
      <c r="E187">
        <v>394.94</v>
      </c>
      <c r="F187">
        <v>73038805</v>
      </c>
    </row>
    <row r="188" spans="1:6" x14ac:dyDescent="0.35">
      <c r="A188" s="1">
        <v>45667</v>
      </c>
      <c r="B188">
        <v>391.4</v>
      </c>
      <c r="C188">
        <v>399.28</v>
      </c>
      <c r="D188">
        <v>377.29</v>
      </c>
      <c r="E188">
        <v>394.74</v>
      </c>
      <c r="F188">
        <v>62287333</v>
      </c>
    </row>
    <row r="189" spans="1:6" x14ac:dyDescent="0.35">
      <c r="A189" s="1">
        <v>45670</v>
      </c>
      <c r="B189">
        <v>383.21</v>
      </c>
      <c r="C189">
        <v>403.79</v>
      </c>
      <c r="D189">
        <v>380.07</v>
      </c>
      <c r="E189">
        <v>403.31</v>
      </c>
      <c r="F189">
        <v>67580494</v>
      </c>
    </row>
    <row r="190" spans="1:6" x14ac:dyDescent="0.35">
      <c r="A190" s="1">
        <v>45671</v>
      </c>
      <c r="B190">
        <v>414.34</v>
      </c>
      <c r="C190">
        <v>422.64</v>
      </c>
      <c r="D190">
        <v>394.54</v>
      </c>
      <c r="E190">
        <v>396.36</v>
      </c>
      <c r="F190">
        <v>84565022</v>
      </c>
    </row>
    <row r="191" spans="1:6" x14ac:dyDescent="0.35">
      <c r="A191" s="1">
        <v>45672</v>
      </c>
      <c r="B191">
        <v>409.9</v>
      </c>
      <c r="C191">
        <v>429.8</v>
      </c>
      <c r="D191">
        <v>405.661</v>
      </c>
      <c r="E191">
        <v>428.22</v>
      </c>
      <c r="F191">
        <v>81375460</v>
      </c>
    </row>
    <row r="192" spans="1:6" x14ac:dyDescent="0.35">
      <c r="A192" s="1">
        <v>45673</v>
      </c>
      <c r="B192">
        <v>423.49</v>
      </c>
      <c r="C192">
        <v>424</v>
      </c>
      <c r="D192">
        <v>409.13</v>
      </c>
      <c r="E192">
        <v>413.82</v>
      </c>
      <c r="F192">
        <v>68335151</v>
      </c>
    </row>
    <row r="193" spans="1:6" x14ac:dyDescent="0.35">
      <c r="A193" s="1">
        <v>45674</v>
      </c>
      <c r="B193">
        <v>421.5</v>
      </c>
      <c r="C193">
        <v>439.74</v>
      </c>
      <c r="D193">
        <v>419.75</v>
      </c>
      <c r="E193">
        <v>426.5</v>
      </c>
      <c r="F193">
        <v>94991429</v>
      </c>
    </row>
    <row r="194" spans="1:6" x14ac:dyDescent="0.35">
      <c r="A194" s="1">
        <v>45678</v>
      </c>
      <c r="B194">
        <v>432.64</v>
      </c>
      <c r="C194">
        <v>433.2</v>
      </c>
      <c r="D194">
        <v>406.31</v>
      </c>
      <c r="E194">
        <v>424.07</v>
      </c>
      <c r="F194">
        <v>87320894</v>
      </c>
    </row>
    <row r="195" spans="1:6" x14ac:dyDescent="0.35">
      <c r="A195" s="1">
        <v>45679</v>
      </c>
      <c r="B195">
        <v>416.81</v>
      </c>
      <c r="C195">
        <v>428</v>
      </c>
      <c r="D195">
        <v>414.59</v>
      </c>
      <c r="E195">
        <v>415.11</v>
      </c>
      <c r="F195">
        <v>60963342</v>
      </c>
    </row>
    <row r="196" spans="1:6" x14ac:dyDescent="0.35">
      <c r="A196" s="1">
        <v>45680</v>
      </c>
      <c r="B196">
        <v>416.06</v>
      </c>
      <c r="C196">
        <v>420.73</v>
      </c>
      <c r="D196">
        <v>408.95</v>
      </c>
      <c r="E196">
        <v>412.38</v>
      </c>
      <c r="F196">
        <v>50690592</v>
      </c>
    </row>
    <row r="197" spans="1:6" x14ac:dyDescent="0.35">
      <c r="A197" s="1">
        <v>45681</v>
      </c>
      <c r="B197">
        <v>414.45</v>
      </c>
      <c r="C197">
        <v>418.88</v>
      </c>
      <c r="D197">
        <v>405.78</v>
      </c>
      <c r="E197">
        <v>406.58</v>
      </c>
      <c r="F197">
        <v>56427149</v>
      </c>
    </row>
    <row r="198" spans="1:6" x14ac:dyDescent="0.35">
      <c r="A198" s="1">
        <v>45684</v>
      </c>
      <c r="B198">
        <v>394.8</v>
      </c>
      <c r="C198">
        <v>406.69</v>
      </c>
      <c r="D198">
        <v>389</v>
      </c>
      <c r="E198">
        <v>397.15</v>
      </c>
      <c r="F198">
        <v>58125510</v>
      </c>
    </row>
    <row r="199" spans="1:6" x14ac:dyDescent="0.35">
      <c r="A199" s="1">
        <v>45685</v>
      </c>
      <c r="B199">
        <v>396.91</v>
      </c>
      <c r="C199">
        <v>400.59</v>
      </c>
      <c r="D199">
        <v>386.5</v>
      </c>
      <c r="E199">
        <v>398.09</v>
      </c>
      <c r="F199">
        <v>48910676</v>
      </c>
    </row>
    <row r="200" spans="1:6" x14ac:dyDescent="0.35">
      <c r="A200" s="1">
        <v>45686</v>
      </c>
      <c r="B200">
        <v>395.21</v>
      </c>
      <c r="C200">
        <v>398.5899</v>
      </c>
      <c r="D200">
        <v>384.48</v>
      </c>
      <c r="E200">
        <v>389.1</v>
      </c>
      <c r="F200">
        <v>68033648</v>
      </c>
    </row>
    <row r="201" spans="1:6" x14ac:dyDescent="0.35">
      <c r="A201" s="1">
        <v>45687</v>
      </c>
      <c r="B201">
        <v>410.78</v>
      </c>
      <c r="C201">
        <v>412.5</v>
      </c>
      <c r="D201">
        <v>384.41</v>
      </c>
      <c r="E201">
        <v>400.28</v>
      </c>
      <c r="F201">
        <v>98092879</v>
      </c>
    </row>
    <row r="202" spans="1:6" x14ac:dyDescent="0.35">
      <c r="A202" s="1">
        <v>45688</v>
      </c>
      <c r="B202">
        <v>401.53</v>
      </c>
      <c r="C202">
        <v>419.99</v>
      </c>
      <c r="D202">
        <v>401.34</v>
      </c>
      <c r="E202">
        <v>404.6</v>
      </c>
      <c r="F202">
        <v>83568219</v>
      </c>
    </row>
    <row r="203" spans="1:6" x14ac:dyDescent="0.35">
      <c r="A203" s="1">
        <v>45691</v>
      </c>
      <c r="B203">
        <v>386.68</v>
      </c>
      <c r="C203">
        <v>389.17</v>
      </c>
      <c r="D203">
        <v>374.36</v>
      </c>
      <c r="E203">
        <v>383.68</v>
      </c>
      <c r="F203">
        <v>93732122</v>
      </c>
    </row>
    <row r="204" spans="1:6" x14ac:dyDescent="0.35">
      <c r="A204" s="1">
        <v>45692</v>
      </c>
      <c r="B204">
        <v>382.63</v>
      </c>
      <c r="C204">
        <v>394</v>
      </c>
      <c r="D204">
        <v>381.4</v>
      </c>
      <c r="E204">
        <v>392.21</v>
      </c>
      <c r="F204">
        <v>57072235</v>
      </c>
    </row>
    <row r="205" spans="1:6" x14ac:dyDescent="0.35">
      <c r="A205" s="1">
        <v>45693</v>
      </c>
      <c r="B205">
        <v>387.51</v>
      </c>
      <c r="C205">
        <v>388.39</v>
      </c>
      <c r="D205">
        <v>375.53</v>
      </c>
      <c r="E205">
        <v>378.17</v>
      </c>
      <c r="F205">
        <v>57614721</v>
      </c>
    </row>
    <row r="206" spans="1:6" x14ac:dyDescent="0.35">
      <c r="A206" s="1">
        <v>45694</v>
      </c>
      <c r="B206">
        <v>373.03</v>
      </c>
      <c r="C206">
        <v>375.4</v>
      </c>
      <c r="D206">
        <v>363.18</v>
      </c>
      <c r="E206">
        <v>374.32</v>
      </c>
      <c r="F206">
        <v>77918230</v>
      </c>
    </row>
    <row r="207" spans="1:6" x14ac:dyDescent="0.35">
      <c r="A207" s="1">
        <v>45695</v>
      </c>
      <c r="B207">
        <v>370.19</v>
      </c>
      <c r="C207">
        <v>380.54590000000002</v>
      </c>
      <c r="D207">
        <v>360.34</v>
      </c>
      <c r="E207">
        <v>361.62</v>
      </c>
      <c r="F207">
        <v>70298258</v>
      </c>
    </row>
    <row r="208" spans="1:6" x14ac:dyDescent="0.35">
      <c r="A208" s="1">
        <v>45698</v>
      </c>
      <c r="B208">
        <v>356.21</v>
      </c>
      <c r="C208">
        <v>362.7</v>
      </c>
      <c r="D208">
        <v>350.51</v>
      </c>
      <c r="E208">
        <v>350.73</v>
      </c>
      <c r="F208">
        <v>77514903</v>
      </c>
    </row>
    <row r="209" spans="1:6" x14ac:dyDescent="0.35">
      <c r="A209" s="1">
        <v>45699</v>
      </c>
      <c r="B209">
        <v>345.8</v>
      </c>
      <c r="C209">
        <v>349.37</v>
      </c>
      <c r="D209">
        <v>325.10000000000002</v>
      </c>
      <c r="E209">
        <v>328.5</v>
      </c>
      <c r="F209">
        <v>118543400</v>
      </c>
    </row>
    <row r="210" spans="1:6" x14ac:dyDescent="0.35">
      <c r="A210" s="1">
        <v>45700</v>
      </c>
      <c r="B210">
        <v>329.94</v>
      </c>
      <c r="C210">
        <v>346.4</v>
      </c>
      <c r="D210">
        <v>329.12</v>
      </c>
      <c r="E210">
        <v>336.51</v>
      </c>
      <c r="F210">
        <v>105382729</v>
      </c>
    </row>
    <row r="211" spans="1:6" x14ac:dyDescent="0.35">
      <c r="A211" s="1">
        <v>45701</v>
      </c>
      <c r="B211">
        <v>345</v>
      </c>
      <c r="C211">
        <v>358.69</v>
      </c>
      <c r="D211">
        <v>342.85</v>
      </c>
      <c r="E211">
        <v>355.94</v>
      </c>
      <c r="F211">
        <v>89441519</v>
      </c>
    </row>
    <row r="212" spans="1:6" x14ac:dyDescent="0.35">
      <c r="A212" s="1">
        <v>45702</v>
      </c>
      <c r="B212">
        <v>360.62</v>
      </c>
      <c r="C212">
        <v>362</v>
      </c>
      <c r="D212">
        <v>347.5</v>
      </c>
      <c r="E212">
        <v>355.84</v>
      </c>
      <c r="F212">
        <v>68277279</v>
      </c>
    </row>
    <row r="213" spans="1:6" x14ac:dyDescent="0.35">
      <c r="A213" s="1">
        <v>45706</v>
      </c>
      <c r="B213">
        <v>355.01</v>
      </c>
      <c r="C213">
        <v>359.1</v>
      </c>
      <c r="D213">
        <v>350.02</v>
      </c>
      <c r="E213">
        <v>354.11</v>
      </c>
      <c r="F213">
        <v>51631702</v>
      </c>
    </row>
    <row r="214" spans="1:6" x14ac:dyDescent="0.35">
      <c r="A214" s="1">
        <v>45707</v>
      </c>
      <c r="B214">
        <v>354</v>
      </c>
      <c r="C214">
        <v>367.34</v>
      </c>
      <c r="D214">
        <v>353.67</v>
      </c>
      <c r="E214">
        <v>360.56</v>
      </c>
      <c r="F214">
        <v>67094374</v>
      </c>
    </row>
    <row r="215" spans="1:6" x14ac:dyDescent="0.35">
      <c r="A215" s="1">
        <v>45708</v>
      </c>
      <c r="B215">
        <v>361.51</v>
      </c>
      <c r="C215">
        <v>362.3</v>
      </c>
      <c r="D215">
        <v>348</v>
      </c>
      <c r="E215">
        <v>354.4</v>
      </c>
      <c r="F215">
        <v>45965354</v>
      </c>
    </row>
    <row r="216" spans="1:6" x14ac:dyDescent="0.35">
      <c r="A216" s="1">
        <v>45709</v>
      </c>
      <c r="B216">
        <v>353.44</v>
      </c>
      <c r="C216">
        <v>354.98</v>
      </c>
      <c r="D216">
        <v>334.42</v>
      </c>
      <c r="E216">
        <v>337.8</v>
      </c>
      <c r="F216">
        <v>74058648</v>
      </c>
    </row>
    <row r="217" spans="1:6" x14ac:dyDescent="0.35">
      <c r="A217" s="1">
        <v>45712</v>
      </c>
      <c r="B217">
        <v>338.14</v>
      </c>
      <c r="C217">
        <v>342.39729999999997</v>
      </c>
      <c r="D217">
        <v>324.7</v>
      </c>
      <c r="E217">
        <v>330.53</v>
      </c>
      <c r="F217">
        <v>76052321</v>
      </c>
    </row>
    <row r="218" spans="1:6" x14ac:dyDescent="0.35">
      <c r="A218" s="1">
        <v>45713</v>
      </c>
      <c r="B218">
        <v>327.02499999999998</v>
      </c>
      <c r="C218">
        <v>328.89</v>
      </c>
      <c r="D218">
        <v>297.25119999999998</v>
      </c>
      <c r="E218">
        <v>302.8</v>
      </c>
      <c r="F218">
        <v>134228777</v>
      </c>
    </row>
    <row r="219" spans="1:6" x14ac:dyDescent="0.35">
      <c r="A219" s="1">
        <v>45714</v>
      </c>
      <c r="B219">
        <v>303.71499999999997</v>
      </c>
      <c r="C219">
        <v>309</v>
      </c>
      <c r="D219">
        <v>288.04000000000002</v>
      </c>
      <c r="E219">
        <v>290.8</v>
      </c>
      <c r="F219">
        <v>100118276</v>
      </c>
    </row>
    <row r="220" spans="1:6" x14ac:dyDescent="0.35">
      <c r="A220" s="1">
        <v>45715</v>
      </c>
      <c r="B220">
        <v>291.16000000000003</v>
      </c>
      <c r="C220">
        <v>297.23</v>
      </c>
      <c r="D220">
        <v>280.88</v>
      </c>
      <c r="E220">
        <v>281.95</v>
      </c>
      <c r="F220">
        <v>101748197</v>
      </c>
    </row>
    <row r="221" spans="1:6" x14ac:dyDescent="0.35">
      <c r="A221" s="1">
        <v>45716</v>
      </c>
      <c r="B221">
        <v>279.5</v>
      </c>
      <c r="C221">
        <v>293.88</v>
      </c>
      <c r="D221">
        <v>273.60000000000002</v>
      </c>
      <c r="E221">
        <v>292.98</v>
      </c>
      <c r="F221">
        <v>115696968</v>
      </c>
    </row>
    <row r="222" spans="1:6" x14ac:dyDescent="0.35">
      <c r="A222" s="1">
        <v>45719</v>
      </c>
      <c r="B222">
        <v>300.33999999999997</v>
      </c>
      <c r="C222">
        <v>303.94</v>
      </c>
      <c r="D222">
        <v>277.3</v>
      </c>
      <c r="E222">
        <v>284.64999999999998</v>
      </c>
      <c r="F222">
        <v>115551414</v>
      </c>
    </row>
    <row r="223" spans="1:6" x14ac:dyDescent="0.35">
      <c r="A223" s="1">
        <v>45720</v>
      </c>
      <c r="B223">
        <v>270.93</v>
      </c>
      <c r="C223">
        <v>284.35000000000002</v>
      </c>
      <c r="D223">
        <v>261.84010000000001</v>
      </c>
      <c r="E223">
        <v>272.04000000000002</v>
      </c>
      <c r="F223">
        <v>126706623</v>
      </c>
    </row>
    <row r="224" spans="1:6" x14ac:dyDescent="0.35">
      <c r="A224" s="1">
        <v>45721</v>
      </c>
      <c r="B224">
        <v>272.92</v>
      </c>
      <c r="C224">
        <v>279.55</v>
      </c>
      <c r="D224">
        <v>267.70999999999998</v>
      </c>
      <c r="E224">
        <v>279.10000000000002</v>
      </c>
      <c r="F224">
        <v>94042913</v>
      </c>
    </row>
    <row r="225" spans="1:6" x14ac:dyDescent="0.35">
      <c r="A225" s="1">
        <v>45722</v>
      </c>
      <c r="B225">
        <v>272.06</v>
      </c>
      <c r="C225">
        <v>272.64999999999998</v>
      </c>
      <c r="D225">
        <v>260.02</v>
      </c>
      <c r="E225">
        <v>263.45</v>
      </c>
      <c r="F225">
        <v>98451566</v>
      </c>
    </row>
    <row r="226" spans="1:6" x14ac:dyDescent="0.35">
      <c r="A226" s="1">
        <v>45723</v>
      </c>
      <c r="B226">
        <v>259.32</v>
      </c>
      <c r="C226">
        <v>266.24990000000003</v>
      </c>
      <c r="D226">
        <v>250.73</v>
      </c>
      <c r="E226">
        <v>262.67</v>
      </c>
      <c r="F226">
        <v>102369640</v>
      </c>
    </row>
    <row r="227" spans="1:6" x14ac:dyDescent="0.35">
      <c r="A227" s="1">
        <v>45726</v>
      </c>
      <c r="B227">
        <v>252.54</v>
      </c>
      <c r="C227">
        <v>253.37</v>
      </c>
      <c r="D227">
        <v>220</v>
      </c>
      <c r="E227">
        <v>222.15</v>
      </c>
      <c r="F227">
        <v>185037825</v>
      </c>
    </row>
    <row r="228" spans="1:6" x14ac:dyDescent="0.35">
      <c r="A228" s="1">
        <v>45727</v>
      </c>
      <c r="B228">
        <v>225.30500000000001</v>
      </c>
      <c r="C228">
        <v>237.06489999999999</v>
      </c>
      <c r="D228">
        <v>217.02</v>
      </c>
      <c r="E228">
        <v>230.58</v>
      </c>
      <c r="F228">
        <v>174896415</v>
      </c>
    </row>
    <row r="229" spans="1:6" x14ac:dyDescent="0.35">
      <c r="A229" s="1">
        <v>45728</v>
      </c>
      <c r="B229">
        <v>247.22</v>
      </c>
      <c r="C229">
        <v>251.84</v>
      </c>
      <c r="D229">
        <v>241.1</v>
      </c>
      <c r="E229">
        <v>248.09</v>
      </c>
      <c r="F229">
        <v>142215681</v>
      </c>
    </row>
    <row r="230" spans="1:6" x14ac:dyDescent="0.35">
      <c r="A230" s="1">
        <v>45729</v>
      </c>
      <c r="B230">
        <v>248.125</v>
      </c>
      <c r="C230">
        <v>248.29</v>
      </c>
      <c r="D230">
        <v>232.6</v>
      </c>
      <c r="E230">
        <v>240.68</v>
      </c>
      <c r="F230">
        <v>114813525</v>
      </c>
    </row>
    <row r="231" spans="1:6" x14ac:dyDescent="0.35">
      <c r="A231" s="1">
        <v>45730</v>
      </c>
      <c r="B231">
        <v>247.31</v>
      </c>
      <c r="C231">
        <v>251.58</v>
      </c>
      <c r="D231">
        <v>240.73</v>
      </c>
      <c r="E231">
        <v>249.98</v>
      </c>
      <c r="F231">
        <v>100242264</v>
      </c>
    </row>
    <row r="232" spans="1:6" x14ac:dyDescent="0.35">
      <c r="A232" s="1">
        <v>45733</v>
      </c>
      <c r="B232">
        <v>245.05500000000001</v>
      </c>
      <c r="C232">
        <v>245.4</v>
      </c>
      <c r="D232">
        <v>232.8</v>
      </c>
      <c r="E232">
        <v>238.01</v>
      </c>
      <c r="F232">
        <v>111900565</v>
      </c>
    </row>
    <row r="233" spans="1:6" x14ac:dyDescent="0.35">
      <c r="A233" s="1">
        <v>45734</v>
      </c>
      <c r="B233">
        <v>228.155</v>
      </c>
      <c r="C233">
        <v>230.1</v>
      </c>
      <c r="D233">
        <v>222.28</v>
      </c>
      <c r="E233">
        <v>225.31</v>
      </c>
      <c r="F233">
        <v>111477636</v>
      </c>
    </row>
    <row r="234" spans="1:6" x14ac:dyDescent="0.35">
      <c r="A234" s="1">
        <v>45735</v>
      </c>
      <c r="B234">
        <v>231.61</v>
      </c>
      <c r="C234">
        <v>241.41</v>
      </c>
      <c r="D234">
        <v>229.20099999999999</v>
      </c>
      <c r="E234">
        <v>235.86</v>
      </c>
      <c r="F234">
        <v>111993753</v>
      </c>
    </row>
    <row r="235" spans="1:6" x14ac:dyDescent="0.35">
      <c r="A235" s="1">
        <v>45736</v>
      </c>
      <c r="B235">
        <v>233.345</v>
      </c>
      <c r="C235">
        <v>238</v>
      </c>
      <c r="D235">
        <v>230.05009999999999</v>
      </c>
      <c r="E235">
        <v>236.26</v>
      </c>
      <c r="F235">
        <v>99028270</v>
      </c>
    </row>
    <row r="236" spans="1:6" x14ac:dyDescent="0.35">
      <c r="A236" s="1">
        <v>45737</v>
      </c>
      <c r="B236">
        <v>234.98500000000001</v>
      </c>
      <c r="C236">
        <v>249.52</v>
      </c>
      <c r="D236">
        <v>234.55</v>
      </c>
      <c r="E236">
        <v>248.71</v>
      </c>
      <c r="F236">
        <v>132728684</v>
      </c>
    </row>
    <row r="237" spans="1:6" x14ac:dyDescent="0.35">
      <c r="A237" s="1">
        <v>45740</v>
      </c>
      <c r="B237">
        <v>258.07499999999999</v>
      </c>
      <c r="C237">
        <v>278.64</v>
      </c>
      <c r="D237">
        <v>256.33</v>
      </c>
      <c r="E237">
        <v>278.39</v>
      </c>
      <c r="F237">
        <v>169079865</v>
      </c>
    </row>
    <row r="238" spans="1:6" x14ac:dyDescent="0.35">
      <c r="A238" s="1">
        <v>45741</v>
      </c>
      <c r="B238">
        <v>283.60000000000002</v>
      </c>
      <c r="C238">
        <v>288.2</v>
      </c>
      <c r="D238">
        <v>271.27999999999997</v>
      </c>
      <c r="E238">
        <v>288.14</v>
      </c>
      <c r="F238">
        <v>150361538</v>
      </c>
    </row>
    <row r="239" spans="1:6" x14ac:dyDescent="0.35">
      <c r="A239" s="1">
        <v>45742</v>
      </c>
      <c r="B239">
        <v>282.66000000000003</v>
      </c>
      <c r="C239">
        <v>284.89999999999998</v>
      </c>
      <c r="D239">
        <v>266.51</v>
      </c>
      <c r="E239">
        <v>272.06</v>
      </c>
      <c r="F239">
        <v>156254441</v>
      </c>
    </row>
    <row r="240" spans="1:6" x14ac:dyDescent="0.35">
      <c r="A240" s="1">
        <v>45743</v>
      </c>
      <c r="B240">
        <v>272.48</v>
      </c>
      <c r="C240">
        <v>291.85000000000002</v>
      </c>
      <c r="D240">
        <v>271.82159999999999</v>
      </c>
      <c r="E240">
        <v>273.13</v>
      </c>
      <c r="F240">
        <v>162572146</v>
      </c>
    </row>
    <row r="241" spans="1:9" x14ac:dyDescent="0.35">
      <c r="A241" s="1">
        <v>45744</v>
      </c>
      <c r="B241">
        <v>275.57499999999999</v>
      </c>
      <c r="C241">
        <v>276.10000000000002</v>
      </c>
      <c r="D241">
        <v>260.57</v>
      </c>
      <c r="E241">
        <v>263.55</v>
      </c>
      <c r="F241">
        <v>123809389</v>
      </c>
    </row>
    <row r="242" spans="1:9" x14ac:dyDescent="0.35">
      <c r="A242" s="1">
        <v>45747</v>
      </c>
      <c r="B242">
        <v>249.31</v>
      </c>
      <c r="C242">
        <v>260.56</v>
      </c>
      <c r="D242">
        <v>243.36009999999999</v>
      </c>
      <c r="E242">
        <v>259.16000000000003</v>
      </c>
      <c r="F242">
        <v>134008936</v>
      </c>
    </row>
    <row r="243" spans="1:9" x14ac:dyDescent="0.35">
      <c r="A243" s="1">
        <v>45748</v>
      </c>
      <c r="B243">
        <v>263.8</v>
      </c>
      <c r="C243">
        <v>277.45</v>
      </c>
      <c r="D243">
        <v>259.25</v>
      </c>
      <c r="E243">
        <v>268.45999999999998</v>
      </c>
      <c r="F243">
        <v>146486911</v>
      </c>
    </row>
    <row r="244" spans="1:9" x14ac:dyDescent="0.35">
      <c r="A244" s="1">
        <v>45749</v>
      </c>
      <c r="B244">
        <v>254.6</v>
      </c>
      <c r="C244">
        <v>284.99</v>
      </c>
      <c r="D244">
        <v>251.27</v>
      </c>
      <c r="E244">
        <v>282.76</v>
      </c>
      <c r="F244">
        <v>212787817</v>
      </c>
    </row>
    <row r="245" spans="1:9" x14ac:dyDescent="0.35">
      <c r="A245" s="1">
        <v>45750</v>
      </c>
      <c r="B245">
        <v>265.29000000000002</v>
      </c>
      <c r="C245">
        <v>276.3</v>
      </c>
      <c r="D245">
        <v>261.51</v>
      </c>
      <c r="E245">
        <v>267.27999999999997</v>
      </c>
      <c r="F245">
        <v>136174291</v>
      </c>
    </row>
    <row r="246" spans="1:9" x14ac:dyDescent="0.35">
      <c r="A246" s="1">
        <v>45751</v>
      </c>
      <c r="B246">
        <v>255.38</v>
      </c>
      <c r="C246">
        <v>261</v>
      </c>
      <c r="D246">
        <v>236</v>
      </c>
      <c r="E246">
        <v>239.43</v>
      </c>
      <c r="F246">
        <v>181229353</v>
      </c>
    </row>
    <row r="247" spans="1:9" x14ac:dyDescent="0.35">
      <c r="A247" s="1">
        <v>45754</v>
      </c>
      <c r="B247">
        <v>223.78</v>
      </c>
      <c r="C247">
        <v>252</v>
      </c>
      <c r="D247">
        <v>214.25</v>
      </c>
      <c r="E247">
        <v>233.29</v>
      </c>
      <c r="F247">
        <v>183453776</v>
      </c>
    </row>
    <row r="248" spans="1:9" x14ac:dyDescent="0.35">
      <c r="A248" s="1">
        <v>45755</v>
      </c>
      <c r="B248">
        <v>245</v>
      </c>
      <c r="C248">
        <v>250.44</v>
      </c>
      <c r="D248">
        <v>217.8</v>
      </c>
      <c r="E248">
        <v>221.86</v>
      </c>
      <c r="F248">
        <v>171603472</v>
      </c>
    </row>
    <row r="249" spans="1:9" x14ac:dyDescent="0.35">
      <c r="A249" s="1">
        <v>45756</v>
      </c>
      <c r="B249">
        <v>224.69</v>
      </c>
      <c r="C249">
        <v>274.69</v>
      </c>
      <c r="D249">
        <v>223.88</v>
      </c>
      <c r="E249">
        <v>272.2</v>
      </c>
      <c r="F249">
        <v>219433373</v>
      </c>
    </row>
    <row r="250" spans="1:9" x14ac:dyDescent="0.35">
      <c r="A250" s="1">
        <v>45757</v>
      </c>
      <c r="B250">
        <v>260</v>
      </c>
      <c r="C250">
        <v>262.49</v>
      </c>
      <c r="D250">
        <v>239.33</v>
      </c>
      <c r="E250">
        <v>252.4</v>
      </c>
      <c r="F250">
        <v>181722604</v>
      </c>
    </row>
    <row r="251" spans="1:9" x14ac:dyDescent="0.35">
      <c r="A251" s="1">
        <v>45758</v>
      </c>
      <c r="B251">
        <v>251.84</v>
      </c>
      <c r="C251">
        <v>257.74</v>
      </c>
      <c r="D251">
        <v>241.3629</v>
      </c>
      <c r="E251">
        <v>252.31</v>
      </c>
      <c r="F251">
        <v>128948085</v>
      </c>
    </row>
    <row r="252" spans="1:9" x14ac:dyDescent="0.35">
      <c r="H252" t="s">
        <v>376</v>
      </c>
      <c r="I252">
        <f>AVERAGE(query?function_TIME_SERIES_DAILY_symbol_TSLA_outputsize_full_apikey_GZI7H5RJGQTL[close])</f>
        <v>267.07755999999989</v>
      </c>
    </row>
    <row r="253" spans="1:9" x14ac:dyDescent="0.35">
      <c r="H253" t="s">
        <v>375</v>
      </c>
      <c r="I253">
        <f>SUM(query?function_TIME_SERIES_DAILY_symbol_TSLA_outputsize_full_apikey_GZI7H5RJGQTL[volume])</f>
        <v>24013127097</v>
      </c>
    </row>
    <row r="254" spans="1:9" x14ac:dyDescent="0.35">
      <c r="H254" t="s">
        <v>377</v>
      </c>
      <c r="I254">
        <f>(E251-E2)/E2</f>
        <v>0.56248451820658918</v>
      </c>
    </row>
    <row r="255" spans="1:9" x14ac:dyDescent="0.35">
      <c r="H255" t="s">
        <v>378</v>
      </c>
      <c r="I255">
        <f>MAX(query?function_TIME_SERIES_DAILY_symbol_TSLA_outputsize_full_apikey_GZI7H5RJGQTL[close])</f>
        <v>479.86</v>
      </c>
    </row>
    <row r="256" spans="1:9" x14ac:dyDescent="0.35">
      <c r="H256" t="s">
        <v>379</v>
      </c>
      <c r="I256">
        <f>MIN(query?function_TIME_SERIES_DAILY_symbol_TSLA_outputsize_full_apikey_GZI7H5RJGQTL[close])</f>
        <v>142.05000000000001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B80B-70D1-49F2-81C1-CF78922307BF}">
  <dimension ref="A1:I256"/>
  <sheetViews>
    <sheetView topLeftCell="A242" workbookViewId="0">
      <selection activeCell="H252" sqref="H252:I256"/>
    </sheetView>
  </sheetViews>
  <sheetFormatPr defaultRowHeight="14.5" x14ac:dyDescent="0.35"/>
  <cols>
    <col min="1" max="1" width="17" bestFit="1" customWidth="1"/>
    <col min="2" max="2" width="15.1796875" customWidth="1"/>
    <col min="3" max="4" width="8.81640625" bestFit="1" customWidth="1"/>
    <col min="5" max="5" width="7.54296875" bestFit="1" customWidth="1"/>
    <col min="6" max="6" width="9.81640625" bestFit="1" customWidth="1"/>
  </cols>
  <sheetData>
    <row r="1" spans="1:6" x14ac:dyDescent="0.35">
      <c r="A1" t="s">
        <v>369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45397</v>
      </c>
      <c r="B2">
        <v>175.36</v>
      </c>
      <c r="C2">
        <v>176.63</v>
      </c>
      <c r="D2">
        <v>172.5</v>
      </c>
      <c r="E2">
        <v>172.69</v>
      </c>
      <c r="F2">
        <v>73531773</v>
      </c>
    </row>
    <row r="3" spans="1:6" x14ac:dyDescent="0.35">
      <c r="A3" s="1">
        <v>45398</v>
      </c>
      <c r="B3">
        <v>171.75</v>
      </c>
      <c r="C3">
        <v>173.76</v>
      </c>
      <c r="D3">
        <v>168.27</v>
      </c>
      <c r="E3">
        <v>169.38</v>
      </c>
      <c r="F3">
        <v>73711235</v>
      </c>
    </row>
    <row r="4" spans="1:6" x14ac:dyDescent="0.35">
      <c r="A4" s="1">
        <v>45399</v>
      </c>
      <c r="B4">
        <v>169.61</v>
      </c>
      <c r="C4">
        <v>170.65</v>
      </c>
      <c r="D4">
        <v>168</v>
      </c>
      <c r="E4">
        <v>168</v>
      </c>
      <c r="F4">
        <v>50901210</v>
      </c>
    </row>
    <row r="5" spans="1:6" x14ac:dyDescent="0.35">
      <c r="A5" s="1">
        <v>45400</v>
      </c>
      <c r="B5">
        <v>168.03</v>
      </c>
      <c r="C5">
        <v>168.64</v>
      </c>
      <c r="D5">
        <v>166.55</v>
      </c>
      <c r="E5">
        <v>167.04</v>
      </c>
      <c r="F5">
        <v>43122903</v>
      </c>
    </row>
    <row r="6" spans="1:6" x14ac:dyDescent="0.35">
      <c r="A6" s="1">
        <v>45401</v>
      </c>
      <c r="B6">
        <v>166.21</v>
      </c>
      <c r="C6">
        <v>166.4</v>
      </c>
      <c r="D6">
        <v>164.07499999999999</v>
      </c>
      <c r="E6">
        <v>165</v>
      </c>
      <c r="F6">
        <v>68149377</v>
      </c>
    </row>
    <row r="7" spans="1:6" x14ac:dyDescent="0.35">
      <c r="A7" s="1">
        <v>45404</v>
      </c>
      <c r="B7">
        <v>165.51499999999999</v>
      </c>
      <c r="C7">
        <v>167.26</v>
      </c>
      <c r="D7">
        <v>164.77</v>
      </c>
      <c r="E7">
        <v>165.84</v>
      </c>
      <c r="F7">
        <v>48116443</v>
      </c>
    </row>
    <row r="8" spans="1:6" x14ac:dyDescent="0.35">
      <c r="A8" s="1">
        <v>45405</v>
      </c>
      <c r="B8">
        <v>165.35</v>
      </c>
      <c r="C8">
        <v>167.05</v>
      </c>
      <c r="D8">
        <v>164.92</v>
      </c>
      <c r="E8">
        <v>166.9</v>
      </c>
      <c r="F8">
        <v>49537761</v>
      </c>
    </row>
    <row r="9" spans="1:6" x14ac:dyDescent="0.35">
      <c r="A9" s="1">
        <v>45406</v>
      </c>
      <c r="B9">
        <v>166.54</v>
      </c>
      <c r="C9">
        <v>169.3</v>
      </c>
      <c r="D9">
        <v>166.21</v>
      </c>
      <c r="E9">
        <v>169.02</v>
      </c>
      <c r="F9">
        <v>48251835</v>
      </c>
    </row>
    <row r="10" spans="1:6" x14ac:dyDescent="0.35">
      <c r="A10" s="1">
        <v>45407</v>
      </c>
      <c r="B10">
        <v>169.52500000000001</v>
      </c>
      <c r="C10">
        <v>170.61</v>
      </c>
      <c r="D10">
        <v>168.15110000000001</v>
      </c>
      <c r="E10">
        <v>169.89</v>
      </c>
      <c r="F10">
        <v>50558329</v>
      </c>
    </row>
    <row r="11" spans="1:6" x14ac:dyDescent="0.35">
      <c r="A11" s="1">
        <v>45408</v>
      </c>
      <c r="B11">
        <v>169.88</v>
      </c>
      <c r="C11">
        <v>171.34</v>
      </c>
      <c r="D11">
        <v>169.18</v>
      </c>
      <c r="E11">
        <v>169.3</v>
      </c>
      <c r="F11">
        <v>44838354</v>
      </c>
    </row>
    <row r="12" spans="1:6" x14ac:dyDescent="0.35">
      <c r="A12" s="1">
        <v>45411</v>
      </c>
      <c r="B12">
        <v>173.37</v>
      </c>
      <c r="C12">
        <v>176.03</v>
      </c>
      <c r="D12">
        <v>173.1</v>
      </c>
      <c r="E12">
        <v>173.5</v>
      </c>
      <c r="F12">
        <v>68169419</v>
      </c>
    </row>
    <row r="13" spans="1:6" x14ac:dyDescent="0.35">
      <c r="A13" s="1">
        <v>45412</v>
      </c>
      <c r="B13">
        <v>173.33</v>
      </c>
      <c r="C13">
        <v>174.99</v>
      </c>
      <c r="D13">
        <v>170</v>
      </c>
      <c r="E13">
        <v>170.33</v>
      </c>
      <c r="F13">
        <v>65934776</v>
      </c>
    </row>
    <row r="14" spans="1:6" x14ac:dyDescent="0.35">
      <c r="A14" s="1">
        <v>45413</v>
      </c>
      <c r="B14">
        <v>169.58</v>
      </c>
      <c r="C14">
        <v>172.70500000000001</v>
      </c>
      <c r="D14">
        <v>169.11</v>
      </c>
      <c r="E14">
        <v>169.3</v>
      </c>
      <c r="F14">
        <v>50383147</v>
      </c>
    </row>
    <row r="15" spans="1:6" x14ac:dyDescent="0.35">
      <c r="A15" s="1">
        <v>45414</v>
      </c>
      <c r="B15">
        <v>172.51</v>
      </c>
      <c r="C15">
        <v>173.41499999999999</v>
      </c>
      <c r="D15">
        <v>170.89</v>
      </c>
      <c r="E15">
        <v>173.03</v>
      </c>
      <c r="F15">
        <v>94214915</v>
      </c>
    </row>
    <row r="16" spans="1:6" x14ac:dyDescent="0.35">
      <c r="A16" s="1">
        <v>45415</v>
      </c>
      <c r="B16">
        <v>186.64500000000001</v>
      </c>
      <c r="C16">
        <v>187</v>
      </c>
      <c r="D16">
        <v>182.66</v>
      </c>
      <c r="E16">
        <v>183.38</v>
      </c>
      <c r="F16">
        <v>163224109</v>
      </c>
    </row>
    <row r="17" spans="1:6" x14ac:dyDescent="0.35">
      <c r="A17" s="1">
        <v>45418</v>
      </c>
      <c r="B17">
        <v>182.35400000000001</v>
      </c>
      <c r="C17">
        <v>184.2</v>
      </c>
      <c r="D17">
        <v>180.42</v>
      </c>
      <c r="E17">
        <v>181.71</v>
      </c>
      <c r="F17">
        <v>78569667</v>
      </c>
    </row>
    <row r="18" spans="1:6" x14ac:dyDescent="0.35">
      <c r="A18" s="1">
        <v>45419</v>
      </c>
      <c r="B18">
        <v>183.45</v>
      </c>
      <c r="C18">
        <v>184.9</v>
      </c>
      <c r="D18">
        <v>181.32</v>
      </c>
      <c r="E18">
        <v>182.4</v>
      </c>
      <c r="F18">
        <v>77305771</v>
      </c>
    </row>
    <row r="19" spans="1:6" x14ac:dyDescent="0.35">
      <c r="A19" s="1">
        <v>45420</v>
      </c>
      <c r="B19">
        <v>182.85</v>
      </c>
      <c r="C19">
        <v>183.07</v>
      </c>
      <c r="D19">
        <v>181.45</v>
      </c>
      <c r="E19">
        <v>182.74</v>
      </c>
      <c r="F19">
        <v>45057087</v>
      </c>
    </row>
    <row r="20" spans="1:6" x14ac:dyDescent="0.35">
      <c r="A20" s="1">
        <v>45421</v>
      </c>
      <c r="B20">
        <v>182.56</v>
      </c>
      <c r="C20">
        <v>184.66</v>
      </c>
      <c r="D20">
        <v>182.11</v>
      </c>
      <c r="E20">
        <v>184.57</v>
      </c>
      <c r="F20">
        <v>48982972</v>
      </c>
    </row>
    <row r="21" spans="1:6" x14ac:dyDescent="0.35">
      <c r="A21" s="1">
        <v>45422</v>
      </c>
      <c r="B21">
        <v>184.9</v>
      </c>
      <c r="C21">
        <v>185.09</v>
      </c>
      <c r="D21">
        <v>182.13</v>
      </c>
      <c r="E21">
        <v>183.05</v>
      </c>
      <c r="F21">
        <v>50759496</v>
      </c>
    </row>
    <row r="22" spans="1:6" x14ac:dyDescent="0.35">
      <c r="A22" s="1">
        <v>45425</v>
      </c>
      <c r="B22">
        <v>185.435</v>
      </c>
      <c r="C22">
        <v>187.1</v>
      </c>
      <c r="D22">
        <v>184.62</v>
      </c>
      <c r="E22">
        <v>186.28</v>
      </c>
      <c r="F22">
        <v>72044809</v>
      </c>
    </row>
    <row r="23" spans="1:6" x14ac:dyDescent="0.35">
      <c r="A23" s="1">
        <v>45426</v>
      </c>
      <c r="B23">
        <v>187.51</v>
      </c>
      <c r="C23">
        <v>188.3</v>
      </c>
      <c r="D23">
        <v>186.29</v>
      </c>
      <c r="E23">
        <v>187.43</v>
      </c>
      <c r="F23">
        <v>52393619</v>
      </c>
    </row>
    <row r="24" spans="1:6" x14ac:dyDescent="0.35">
      <c r="A24" s="1">
        <v>45427</v>
      </c>
      <c r="B24">
        <v>187.91</v>
      </c>
      <c r="C24">
        <v>190.65</v>
      </c>
      <c r="D24">
        <v>187.37</v>
      </c>
      <c r="E24">
        <v>189.72</v>
      </c>
      <c r="F24">
        <v>70399988</v>
      </c>
    </row>
    <row r="25" spans="1:6" x14ac:dyDescent="0.35">
      <c r="A25" s="1">
        <v>45428</v>
      </c>
      <c r="B25">
        <v>190.47</v>
      </c>
      <c r="C25">
        <v>191.095</v>
      </c>
      <c r="D25">
        <v>189.6601</v>
      </c>
      <c r="E25">
        <v>189.84</v>
      </c>
      <c r="F25">
        <v>52845230</v>
      </c>
    </row>
    <row r="26" spans="1:6" x14ac:dyDescent="0.35">
      <c r="A26" s="1">
        <v>45429</v>
      </c>
      <c r="B26">
        <v>189.51</v>
      </c>
      <c r="C26">
        <v>190.81</v>
      </c>
      <c r="D26">
        <v>189.18</v>
      </c>
      <c r="E26">
        <v>189.87</v>
      </c>
      <c r="F26">
        <v>41282925</v>
      </c>
    </row>
    <row r="27" spans="1:6" x14ac:dyDescent="0.35">
      <c r="A27" s="1">
        <v>45432</v>
      </c>
      <c r="B27">
        <v>189.32499999999999</v>
      </c>
      <c r="C27">
        <v>191.91990000000001</v>
      </c>
      <c r="D27">
        <v>189.01</v>
      </c>
      <c r="E27">
        <v>191.04</v>
      </c>
      <c r="F27">
        <v>44361275</v>
      </c>
    </row>
    <row r="28" spans="1:6" x14ac:dyDescent="0.35">
      <c r="A28" s="1">
        <v>45433</v>
      </c>
      <c r="B28">
        <v>191.09</v>
      </c>
      <c r="C28">
        <v>192.73</v>
      </c>
      <c r="D28">
        <v>190.92009999999999</v>
      </c>
      <c r="E28">
        <v>192.35</v>
      </c>
      <c r="F28">
        <v>42309401</v>
      </c>
    </row>
    <row r="29" spans="1:6" x14ac:dyDescent="0.35">
      <c r="A29" s="1">
        <v>45434</v>
      </c>
      <c r="B29">
        <v>192.26499999999999</v>
      </c>
      <c r="C29">
        <v>192.82310000000001</v>
      </c>
      <c r="D29">
        <v>190.27</v>
      </c>
      <c r="E29">
        <v>190.9</v>
      </c>
      <c r="F29">
        <v>34648547</v>
      </c>
    </row>
    <row r="30" spans="1:6" x14ac:dyDescent="0.35">
      <c r="A30" s="1">
        <v>45435</v>
      </c>
      <c r="B30">
        <v>190.98</v>
      </c>
      <c r="C30">
        <v>191</v>
      </c>
      <c r="D30">
        <v>186.625</v>
      </c>
      <c r="E30">
        <v>186.88</v>
      </c>
      <c r="F30">
        <v>51005924</v>
      </c>
    </row>
    <row r="31" spans="1:6" x14ac:dyDescent="0.35">
      <c r="A31" s="1">
        <v>45436</v>
      </c>
      <c r="B31">
        <v>188.82</v>
      </c>
      <c r="C31">
        <v>190.58</v>
      </c>
      <c r="D31">
        <v>188.04040000000001</v>
      </c>
      <c r="E31">
        <v>189.98</v>
      </c>
      <c r="F31">
        <v>36326975</v>
      </c>
    </row>
    <row r="32" spans="1:6" x14ac:dyDescent="0.35">
      <c r="A32" s="1">
        <v>45440</v>
      </c>
      <c r="B32">
        <v>191.51</v>
      </c>
      <c r="C32">
        <v>193</v>
      </c>
      <c r="D32">
        <v>189.1</v>
      </c>
      <c r="E32">
        <v>189.99</v>
      </c>
      <c r="F32">
        <v>52280051</v>
      </c>
    </row>
    <row r="33" spans="1:6" x14ac:dyDescent="0.35">
      <c r="A33" s="1">
        <v>45441</v>
      </c>
      <c r="B33">
        <v>189.61</v>
      </c>
      <c r="C33">
        <v>192.24700000000001</v>
      </c>
      <c r="D33">
        <v>189.51</v>
      </c>
      <c r="E33">
        <v>190.29</v>
      </c>
      <c r="F33">
        <v>53068016</v>
      </c>
    </row>
    <row r="34" spans="1:6" x14ac:dyDescent="0.35">
      <c r="A34" s="1">
        <v>45442</v>
      </c>
      <c r="B34">
        <v>190.76</v>
      </c>
      <c r="C34">
        <v>192.18</v>
      </c>
      <c r="D34">
        <v>190.63</v>
      </c>
      <c r="E34">
        <v>191.29</v>
      </c>
      <c r="F34">
        <v>49947941</v>
      </c>
    </row>
    <row r="35" spans="1:6" x14ac:dyDescent="0.35">
      <c r="A35" s="1">
        <v>45443</v>
      </c>
      <c r="B35">
        <v>191.44</v>
      </c>
      <c r="C35">
        <v>192.57</v>
      </c>
      <c r="D35">
        <v>189.91</v>
      </c>
      <c r="E35">
        <v>192.25</v>
      </c>
      <c r="F35">
        <v>75158277</v>
      </c>
    </row>
    <row r="36" spans="1:6" x14ac:dyDescent="0.35">
      <c r="A36" s="1">
        <v>45446</v>
      </c>
      <c r="B36">
        <v>192.9</v>
      </c>
      <c r="C36">
        <v>194.99</v>
      </c>
      <c r="D36">
        <v>192.52</v>
      </c>
      <c r="E36">
        <v>194.03</v>
      </c>
      <c r="F36">
        <v>50080539</v>
      </c>
    </row>
    <row r="37" spans="1:6" x14ac:dyDescent="0.35">
      <c r="A37" s="1">
        <v>45447</v>
      </c>
      <c r="B37">
        <v>194.63499999999999</v>
      </c>
      <c r="C37">
        <v>195.32</v>
      </c>
      <c r="D37">
        <v>193.0342</v>
      </c>
      <c r="E37">
        <v>194.35</v>
      </c>
      <c r="F37">
        <v>47471445</v>
      </c>
    </row>
    <row r="38" spans="1:6" x14ac:dyDescent="0.35">
      <c r="A38" s="1">
        <v>45448</v>
      </c>
      <c r="B38">
        <v>195.4</v>
      </c>
      <c r="C38">
        <v>196.9</v>
      </c>
      <c r="D38">
        <v>194.87</v>
      </c>
      <c r="E38">
        <v>195.87</v>
      </c>
      <c r="F38">
        <v>54156785</v>
      </c>
    </row>
    <row r="39" spans="1:6" x14ac:dyDescent="0.35">
      <c r="A39" s="1">
        <v>45449</v>
      </c>
      <c r="B39">
        <v>195.685</v>
      </c>
      <c r="C39">
        <v>196.5</v>
      </c>
      <c r="D39">
        <v>194.17</v>
      </c>
      <c r="E39">
        <v>194.48</v>
      </c>
      <c r="F39">
        <v>41181753</v>
      </c>
    </row>
    <row r="40" spans="1:6" x14ac:dyDescent="0.35">
      <c r="A40" s="1">
        <v>45450</v>
      </c>
      <c r="B40">
        <v>194.65</v>
      </c>
      <c r="C40">
        <v>196.94</v>
      </c>
      <c r="D40">
        <v>194.14</v>
      </c>
      <c r="E40">
        <v>196.89</v>
      </c>
      <c r="F40">
        <v>53103912</v>
      </c>
    </row>
    <row r="41" spans="1:6" x14ac:dyDescent="0.35">
      <c r="A41" s="1">
        <v>45453</v>
      </c>
      <c r="B41">
        <v>196.9</v>
      </c>
      <c r="C41">
        <v>197.3</v>
      </c>
      <c r="D41">
        <v>192.15</v>
      </c>
      <c r="E41">
        <v>193.12</v>
      </c>
      <c r="F41">
        <v>97262077</v>
      </c>
    </row>
    <row r="42" spans="1:6" x14ac:dyDescent="0.35">
      <c r="A42" s="1">
        <v>45454</v>
      </c>
      <c r="B42">
        <v>193.65</v>
      </c>
      <c r="C42">
        <v>207.16</v>
      </c>
      <c r="D42">
        <v>193.63</v>
      </c>
      <c r="E42">
        <v>207.15</v>
      </c>
      <c r="F42">
        <v>172373296</v>
      </c>
    </row>
    <row r="43" spans="1:6" x14ac:dyDescent="0.35">
      <c r="A43" s="1">
        <v>45455</v>
      </c>
      <c r="B43">
        <v>207.37</v>
      </c>
      <c r="C43">
        <v>220.2</v>
      </c>
      <c r="D43">
        <v>206.9</v>
      </c>
      <c r="E43">
        <v>213.07</v>
      </c>
      <c r="F43">
        <v>198134293</v>
      </c>
    </row>
    <row r="44" spans="1:6" x14ac:dyDescent="0.35">
      <c r="A44" s="1">
        <v>45456</v>
      </c>
      <c r="B44">
        <v>214.74</v>
      </c>
      <c r="C44">
        <v>216.75</v>
      </c>
      <c r="D44">
        <v>211.6</v>
      </c>
      <c r="E44">
        <v>214.24</v>
      </c>
      <c r="F44">
        <v>97862729</v>
      </c>
    </row>
    <row r="45" spans="1:6" x14ac:dyDescent="0.35">
      <c r="A45" s="1">
        <v>45457</v>
      </c>
      <c r="B45">
        <v>213.85</v>
      </c>
      <c r="C45">
        <v>215.17</v>
      </c>
      <c r="D45">
        <v>211.3</v>
      </c>
      <c r="E45">
        <v>212.49</v>
      </c>
      <c r="F45">
        <v>70122748</v>
      </c>
    </row>
    <row r="46" spans="1:6" x14ac:dyDescent="0.35">
      <c r="A46" s="1">
        <v>45460</v>
      </c>
      <c r="B46">
        <v>213.37</v>
      </c>
      <c r="C46">
        <v>218.95</v>
      </c>
      <c r="D46">
        <v>212.72</v>
      </c>
      <c r="E46">
        <v>216.67</v>
      </c>
      <c r="F46">
        <v>93728300</v>
      </c>
    </row>
    <row r="47" spans="1:6" x14ac:dyDescent="0.35">
      <c r="A47" s="1">
        <v>45461</v>
      </c>
      <c r="B47">
        <v>217.59</v>
      </c>
      <c r="C47">
        <v>218.63</v>
      </c>
      <c r="D47">
        <v>213</v>
      </c>
      <c r="E47">
        <v>214.29</v>
      </c>
      <c r="F47">
        <v>79943254</v>
      </c>
    </row>
    <row r="48" spans="1:6" x14ac:dyDescent="0.35">
      <c r="A48" s="1">
        <v>45463</v>
      </c>
      <c r="B48">
        <v>213.93</v>
      </c>
      <c r="C48">
        <v>214.24</v>
      </c>
      <c r="D48">
        <v>208.85</v>
      </c>
      <c r="E48">
        <v>209.68</v>
      </c>
      <c r="F48">
        <v>86172451</v>
      </c>
    </row>
    <row r="49" spans="1:6" x14ac:dyDescent="0.35">
      <c r="A49" s="1">
        <v>45464</v>
      </c>
      <c r="B49">
        <v>210.39</v>
      </c>
      <c r="C49">
        <v>211.89</v>
      </c>
      <c r="D49">
        <v>207.11</v>
      </c>
      <c r="E49">
        <v>207.49</v>
      </c>
      <c r="F49">
        <v>246421353</v>
      </c>
    </row>
    <row r="50" spans="1:6" x14ac:dyDescent="0.35">
      <c r="A50" s="1">
        <v>45467</v>
      </c>
      <c r="B50">
        <v>207.72</v>
      </c>
      <c r="C50">
        <v>212.7</v>
      </c>
      <c r="D50">
        <v>206.59</v>
      </c>
      <c r="E50">
        <v>208.14</v>
      </c>
      <c r="F50">
        <v>80727006</v>
      </c>
    </row>
    <row r="51" spans="1:6" x14ac:dyDescent="0.35">
      <c r="A51" s="1">
        <v>45468</v>
      </c>
      <c r="B51">
        <v>209.15</v>
      </c>
      <c r="C51">
        <v>211.38</v>
      </c>
      <c r="D51">
        <v>208.61</v>
      </c>
      <c r="E51">
        <v>209.07</v>
      </c>
      <c r="F51">
        <v>56713868</v>
      </c>
    </row>
    <row r="52" spans="1:6" x14ac:dyDescent="0.35">
      <c r="A52" s="1">
        <v>45469</v>
      </c>
      <c r="B52">
        <v>211.5</v>
      </c>
      <c r="C52">
        <v>214.86</v>
      </c>
      <c r="D52">
        <v>210.64</v>
      </c>
      <c r="E52">
        <v>213.25</v>
      </c>
      <c r="F52">
        <v>66213186</v>
      </c>
    </row>
    <row r="53" spans="1:6" x14ac:dyDescent="0.35">
      <c r="A53" s="1">
        <v>45470</v>
      </c>
      <c r="B53">
        <v>214.69</v>
      </c>
      <c r="C53">
        <v>215.73949999999999</v>
      </c>
      <c r="D53">
        <v>212.35</v>
      </c>
      <c r="E53">
        <v>214.1</v>
      </c>
      <c r="F53">
        <v>49772707</v>
      </c>
    </row>
    <row r="54" spans="1:6" x14ac:dyDescent="0.35">
      <c r="A54" s="1">
        <v>45471</v>
      </c>
      <c r="B54">
        <v>215.77</v>
      </c>
      <c r="C54">
        <v>216.07</v>
      </c>
      <c r="D54">
        <v>210.3</v>
      </c>
      <c r="E54">
        <v>210.62</v>
      </c>
      <c r="F54">
        <v>82542718</v>
      </c>
    </row>
    <row r="55" spans="1:6" x14ac:dyDescent="0.35">
      <c r="A55" s="1">
        <v>45474</v>
      </c>
      <c r="B55">
        <v>212.09</v>
      </c>
      <c r="C55">
        <v>217.51</v>
      </c>
      <c r="D55">
        <v>211.92</v>
      </c>
      <c r="E55">
        <v>216.75</v>
      </c>
      <c r="F55">
        <v>60402929</v>
      </c>
    </row>
    <row r="56" spans="1:6" x14ac:dyDescent="0.35">
      <c r="A56" s="1">
        <v>45475</v>
      </c>
      <c r="B56">
        <v>216.15</v>
      </c>
      <c r="C56">
        <v>220.38</v>
      </c>
      <c r="D56">
        <v>215.1</v>
      </c>
      <c r="E56">
        <v>220.27</v>
      </c>
      <c r="F56">
        <v>58046178</v>
      </c>
    </row>
    <row r="57" spans="1:6" x14ac:dyDescent="0.35">
      <c r="A57" s="1">
        <v>45476</v>
      </c>
      <c r="B57">
        <v>220</v>
      </c>
      <c r="C57">
        <v>221.55</v>
      </c>
      <c r="D57">
        <v>219.03</v>
      </c>
      <c r="E57">
        <v>221.55</v>
      </c>
      <c r="F57">
        <v>37369801</v>
      </c>
    </row>
    <row r="58" spans="1:6" x14ac:dyDescent="0.35">
      <c r="A58" s="1">
        <v>45478</v>
      </c>
      <c r="B58">
        <v>221.65</v>
      </c>
      <c r="C58">
        <v>226.45</v>
      </c>
      <c r="D58">
        <v>221.65</v>
      </c>
      <c r="E58">
        <v>226.34</v>
      </c>
      <c r="F58">
        <v>60412408</v>
      </c>
    </row>
    <row r="59" spans="1:6" x14ac:dyDescent="0.35">
      <c r="A59" s="1">
        <v>45481</v>
      </c>
      <c r="B59">
        <v>227.09</v>
      </c>
      <c r="C59">
        <v>227.85</v>
      </c>
      <c r="D59">
        <v>223.25</v>
      </c>
      <c r="E59">
        <v>227.82</v>
      </c>
      <c r="F59">
        <v>59085861</v>
      </c>
    </row>
    <row r="60" spans="1:6" x14ac:dyDescent="0.35">
      <c r="A60" s="1">
        <v>45482</v>
      </c>
      <c r="B60">
        <v>227.93</v>
      </c>
      <c r="C60">
        <v>229.4</v>
      </c>
      <c r="D60">
        <v>226.37209999999999</v>
      </c>
      <c r="E60">
        <v>228.68</v>
      </c>
      <c r="F60">
        <v>48169822</v>
      </c>
    </row>
    <row r="61" spans="1:6" x14ac:dyDescent="0.35">
      <c r="A61" s="1">
        <v>45483</v>
      </c>
      <c r="B61">
        <v>229.3</v>
      </c>
      <c r="C61">
        <v>233.08</v>
      </c>
      <c r="D61">
        <v>229.25</v>
      </c>
      <c r="E61">
        <v>232.98</v>
      </c>
      <c r="F61">
        <v>62627687</v>
      </c>
    </row>
    <row r="62" spans="1:6" x14ac:dyDescent="0.35">
      <c r="A62" s="1">
        <v>45484</v>
      </c>
      <c r="B62">
        <v>231.39</v>
      </c>
      <c r="C62">
        <v>232.39</v>
      </c>
      <c r="D62">
        <v>225.77</v>
      </c>
      <c r="E62">
        <v>227.57</v>
      </c>
      <c r="F62">
        <v>64710617</v>
      </c>
    </row>
    <row r="63" spans="1:6" x14ac:dyDescent="0.35">
      <c r="A63" s="1">
        <v>45485</v>
      </c>
      <c r="B63">
        <v>228.92</v>
      </c>
      <c r="C63">
        <v>232.64</v>
      </c>
      <c r="D63">
        <v>228.68</v>
      </c>
      <c r="E63">
        <v>230.54</v>
      </c>
      <c r="F63">
        <v>53046527</v>
      </c>
    </row>
    <row r="64" spans="1:6" x14ac:dyDescent="0.35">
      <c r="A64" s="1">
        <v>45488</v>
      </c>
      <c r="B64">
        <v>236.48</v>
      </c>
      <c r="C64">
        <v>237.23</v>
      </c>
      <c r="D64">
        <v>233.09</v>
      </c>
      <c r="E64">
        <v>234.4</v>
      </c>
      <c r="F64">
        <v>62631252</v>
      </c>
    </row>
    <row r="65" spans="1:6" x14ac:dyDescent="0.35">
      <c r="A65" s="1">
        <v>45489</v>
      </c>
      <c r="B65">
        <v>235</v>
      </c>
      <c r="C65">
        <v>236.27</v>
      </c>
      <c r="D65">
        <v>232.33</v>
      </c>
      <c r="E65">
        <v>234.82</v>
      </c>
      <c r="F65">
        <v>43234278</v>
      </c>
    </row>
    <row r="66" spans="1:6" x14ac:dyDescent="0.35">
      <c r="A66" s="1">
        <v>45490</v>
      </c>
      <c r="B66">
        <v>229.45</v>
      </c>
      <c r="C66">
        <v>231.4599</v>
      </c>
      <c r="D66">
        <v>226.64</v>
      </c>
      <c r="E66">
        <v>228.88</v>
      </c>
      <c r="F66">
        <v>57345884</v>
      </c>
    </row>
    <row r="67" spans="1:6" x14ac:dyDescent="0.35">
      <c r="A67" s="1">
        <v>45491</v>
      </c>
      <c r="B67">
        <v>230.28</v>
      </c>
      <c r="C67">
        <v>230.44</v>
      </c>
      <c r="D67">
        <v>222.27</v>
      </c>
      <c r="E67">
        <v>224.18</v>
      </c>
      <c r="F67">
        <v>66034585</v>
      </c>
    </row>
    <row r="68" spans="1:6" x14ac:dyDescent="0.35">
      <c r="A68" s="1">
        <v>45492</v>
      </c>
      <c r="B68">
        <v>224.82</v>
      </c>
      <c r="C68">
        <v>226.8</v>
      </c>
      <c r="D68">
        <v>223.27500000000001</v>
      </c>
      <c r="E68">
        <v>224.31</v>
      </c>
      <c r="F68">
        <v>49151453</v>
      </c>
    </row>
    <row r="69" spans="1:6" x14ac:dyDescent="0.35">
      <c r="A69" s="1">
        <v>45495</v>
      </c>
      <c r="B69">
        <v>227.01</v>
      </c>
      <c r="C69">
        <v>227.78</v>
      </c>
      <c r="D69">
        <v>223.09</v>
      </c>
      <c r="E69">
        <v>223.96</v>
      </c>
      <c r="F69">
        <v>48201835</v>
      </c>
    </row>
    <row r="70" spans="1:6" x14ac:dyDescent="0.35">
      <c r="A70" s="1">
        <v>45496</v>
      </c>
      <c r="B70">
        <v>224.36500000000001</v>
      </c>
      <c r="C70">
        <v>226.94</v>
      </c>
      <c r="D70">
        <v>222.68</v>
      </c>
      <c r="E70">
        <v>225.01</v>
      </c>
      <c r="F70">
        <v>39960260</v>
      </c>
    </row>
    <row r="71" spans="1:6" x14ac:dyDescent="0.35">
      <c r="A71" s="1">
        <v>45497</v>
      </c>
      <c r="B71">
        <v>224</v>
      </c>
      <c r="C71">
        <v>224.8</v>
      </c>
      <c r="D71">
        <v>217.13</v>
      </c>
      <c r="E71">
        <v>218.54</v>
      </c>
      <c r="F71">
        <v>61777576</v>
      </c>
    </row>
    <row r="72" spans="1:6" x14ac:dyDescent="0.35">
      <c r="A72" s="1">
        <v>45498</v>
      </c>
      <c r="B72">
        <v>218.93</v>
      </c>
      <c r="C72">
        <v>220.85</v>
      </c>
      <c r="D72">
        <v>214.62</v>
      </c>
      <c r="E72">
        <v>217.49</v>
      </c>
      <c r="F72">
        <v>51391199</v>
      </c>
    </row>
    <row r="73" spans="1:6" x14ac:dyDescent="0.35">
      <c r="A73" s="1">
        <v>45499</v>
      </c>
      <c r="B73">
        <v>218.7</v>
      </c>
      <c r="C73">
        <v>219.49</v>
      </c>
      <c r="D73">
        <v>216.01</v>
      </c>
      <c r="E73">
        <v>217.96</v>
      </c>
      <c r="F73">
        <v>41601345</v>
      </c>
    </row>
    <row r="74" spans="1:6" x14ac:dyDescent="0.35">
      <c r="A74" s="1">
        <v>45502</v>
      </c>
      <c r="B74">
        <v>216.96</v>
      </c>
      <c r="C74">
        <v>219.3</v>
      </c>
      <c r="D74">
        <v>215.75</v>
      </c>
      <c r="E74">
        <v>218.24</v>
      </c>
      <c r="F74">
        <v>36311778</v>
      </c>
    </row>
    <row r="75" spans="1:6" x14ac:dyDescent="0.35">
      <c r="A75" s="1">
        <v>45503</v>
      </c>
      <c r="B75">
        <v>219.19</v>
      </c>
      <c r="C75">
        <v>220.32499999999999</v>
      </c>
      <c r="D75">
        <v>216.12</v>
      </c>
      <c r="E75">
        <v>218.8</v>
      </c>
      <c r="F75">
        <v>41643840</v>
      </c>
    </row>
    <row r="76" spans="1:6" x14ac:dyDescent="0.35">
      <c r="A76" s="1">
        <v>45504</v>
      </c>
      <c r="B76">
        <v>221.44</v>
      </c>
      <c r="C76">
        <v>223.82</v>
      </c>
      <c r="D76">
        <v>220.63</v>
      </c>
      <c r="E76">
        <v>222.08</v>
      </c>
      <c r="F76">
        <v>50036262</v>
      </c>
    </row>
    <row r="77" spans="1:6" x14ac:dyDescent="0.35">
      <c r="A77" s="1">
        <v>45505</v>
      </c>
      <c r="B77">
        <v>224.37</v>
      </c>
      <c r="C77">
        <v>224.48</v>
      </c>
      <c r="D77">
        <v>217.02</v>
      </c>
      <c r="E77">
        <v>218.36</v>
      </c>
      <c r="F77">
        <v>62500996</v>
      </c>
    </row>
    <row r="78" spans="1:6" x14ac:dyDescent="0.35">
      <c r="A78" s="1">
        <v>45506</v>
      </c>
      <c r="B78">
        <v>219.15</v>
      </c>
      <c r="C78">
        <v>225.6</v>
      </c>
      <c r="D78">
        <v>217.71</v>
      </c>
      <c r="E78">
        <v>219.86</v>
      </c>
      <c r="F78">
        <v>105568560</v>
      </c>
    </row>
    <row r="79" spans="1:6" x14ac:dyDescent="0.35">
      <c r="A79" s="1">
        <v>45509</v>
      </c>
      <c r="B79">
        <v>199.09</v>
      </c>
      <c r="C79">
        <v>213.5</v>
      </c>
      <c r="D79">
        <v>196</v>
      </c>
      <c r="E79">
        <v>209.27</v>
      </c>
      <c r="F79">
        <v>119548589</v>
      </c>
    </row>
    <row r="80" spans="1:6" x14ac:dyDescent="0.35">
      <c r="A80" s="1">
        <v>45510</v>
      </c>
      <c r="B80">
        <v>205.3</v>
      </c>
      <c r="C80">
        <v>209.99</v>
      </c>
      <c r="D80">
        <v>201.07</v>
      </c>
      <c r="E80">
        <v>207.23</v>
      </c>
      <c r="F80">
        <v>69660488</v>
      </c>
    </row>
    <row r="81" spans="1:6" x14ac:dyDescent="0.35">
      <c r="A81" s="1">
        <v>45511</v>
      </c>
      <c r="B81">
        <v>206.9</v>
      </c>
      <c r="C81">
        <v>213.64</v>
      </c>
      <c r="D81">
        <v>206.39</v>
      </c>
      <c r="E81">
        <v>209.82</v>
      </c>
      <c r="F81">
        <v>63516417</v>
      </c>
    </row>
    <row r="82" spans="1:6" x14ac:dyDescent="0.35">
      <c r="A82" s="1">
        <v>45512</v>
      </c>
      <c r="B82">
        <v>213.11</v>
      </c>
      <c r="C82">
        <v>214.2</v>
      </c>
      <c r="D82">
        <v>208.83</v>
      </c>
      <c r="E82">
        <v>213.31</v>
      </c>
      <c r="F82">
        <v>47161149</v>
      </c>
    </row>
    <row r="83" spans="1:6" x14ac:dyDescent="0.35">
      <c r="A83" s="1">
        <v>45513</v>
      </c>
      <c r="B83">
        <v>212.1</v>
      </c>
      <c r="C83">
        <v>216.78</v>
      </c>
      <c r="D83">
        <v>211.97</v>
      </c>
      <c r="E83">
        <v>216.24</v>
      </c>
      <c r="F83">
        <v>42201646</v>
      </c>
    </row>
    <row r="84" spans="1:6" x14ac:dyDescent="0.35">
      <c r="A84" s="1">
        <v>45516</v>
      </c>
      <c r="B84">
        <v>216.07</v>
      </c>
      <c r="C84">
        <v>219.50989999999999</v>
      </c>
      <c r="D84">
        <v>215.6</v>
      </c>
      <c r="E84">
        <v>217.53</v>
      </c>
      <c r="F84">
        <v>38028092</v>
      </c>
    </row>
    <row r="85" spans="1:6" x14ac:dyDescent="0.35">
      <c r="A85" s="1">
        <v>45517</v>
      </c>
      <c r="B85">
        <v>219.01</v>
      </c>
      <c r="C85">
        <v>221.89</v>
      </c>
      <c r="D85">
        <v>219.01</v>
      </c>
      <c r="E85">
        <v>221.27</v>
      </c>
      <c r="F85">
        <v>44155331</v>
      </c>
    </row>
    <row r="86" spans="1:6" x14ac:dyDescent="0.35">
      <c r="A86" s="1">
        <v>45518</v>
      </c>
      <c r="B86">
        <v>220.57</v>
      </c>
      <c r="C86">
        <v>223.03</v>
      </c>
      <c r="D86">
        <v>219.7</v>
      </c>
      <c r="E86">
        <v>221.72</v>
      </c>
      <c r="F86">
        <v>41960574</v>
      </c>
    </row>
    <row r="87" spans="1:6" x14ac:dyDescent="0.35">
      <c r="A87" s="1">
        <v>45519</v>
      </c>
      <c r="B87">
        <v>224.6</v>
      </c>
      <c r="C87">
        <v>225.35</v>
      </c>
      <c r="D87">
        <v>222.76</v>
      </c>
      <c r="E87">
        <v>224.72</v>
      </c>
      <c r="F87">
        <v>46414013</v>
      </c>
    </row>
    <row r="88" spans="1:6" x14ac:dyDescent="0.35">
      <c r="A88" s="1">
        <v>45520</v>
      </c>
      <c r="B88">
        <v>223.92</v>
      </c>
      <c r="C88">
        <v>226.8271</v>
      </c>
      <c r="D88">
        <v>223.65010000000001</v>
      </c>
      <c r="E88">
        <v>226.05</v>
      </c>
      <c r="F88">
        <v>44340240</v>
      </c>
    </row>
    <row r="89" spans="1:6" x14ac:dyDescent="0.35">
      <c r="A89" s="1">
        <v>45523</v>
      </c>
      <c r="B89">
        <v>225.72</v>
      </c>
      <c r="C89">
        <v>225.99</v>
      </c>
      <c r="D89">
        <v>223.04</v>
      </c>
      <c r="E89">
        <v>225.89</v>
      </c>
      <c r="F89">
        <v>40687813</v>
      </c>
    </row>
    <row r="90" spans="1:6" x14ac:dyDescent="0.35">
      <c r="A90" s="1">
        <v>45524</v>
      </c>
      <c r="B90">
        <v>225.77</v>
      </c>
      <c r="C90">
        <v>227.17</v>
      </c>
      <c r="D90">
        <v>225.45</v>
      </c>
      <c r="E90">
        <v>226.51</v>
      </c>
      <c r="F90">
        <v>30299033</v>
      </c>
    </row>
    <row r="91" spans="1:6" x14ac:dyDescent="0.35">
      <c r="A91" s="1">
        <v>45525</v>
      </c>
      <c r="B91">
        <v>226.52</v>
      </c>
      <c r="C91">
        <v>227.98</v>
      </c>
      <c r="D91">
        <v>225.05</v>
      </c>
      <c r="E91">
        <v>226.4</v>
      </c>
      <c r="F91">
        <v>34765480</v>
      </c>
    </row>
    <row r="92" spans="1:6" x14ac:dyDescent="0.35">
      <c r="A92" s="1">
        <v>45526</v>
      </c>
      <c r="B92">
        <v>227.79</v>
      </c>
      <c r="C92">
        <v>228.34</v>
      </c>
      <c r="D92">
        <v>223.9</v>
      </c>
      <c r="E92">
        <v>224.53</v>
      </c>
      <c r="F92">
        <v>43695321</v>
      </c>
    </row>
    <row r="93" spans="1:6" x14ac:dyDescent="0.35">
      <c r="A93" s="1">
        <v>45527</v>
      </c>
      <c r="B93">
        <v>225.65889999999999</v>
      </c>
      <c r="C93">
        <v>228.22</v>
      </c>
      <c r="D93">
        <v>224.33</v>
      </c>
      <c r="E93">
        <v>226.84</v>
      </c>
      <c r="F93">
        <v>38677250</v>
      </c>
    </row>
    <row r="94" spans="1:6" x14ac:dyDescent="0.35">
      <c r="A94" s="1">
        <v>45530</v>
      </c>
      <c r="B94">
        <v>226.76</v>
      </c>
      <c r="C94">
        <v>227.28</v>
      </c>
      <c r="D94">
        <v>223.8905</v>
      </c>
      <c r="E94">
        <v>227.18</v>
      </c>
      <c r="F94">
        <v>30602208</v>
      </c>
    </row>
    <row r="95" spans="1:6" x14ac:dyDescent="0.35">
      <c r="A95" s="1">
        <v>45531</v>
      </c>
      <c r="B95">
        <v>225.995</v>
      </c>
      <c r="C95">
        <v>228.85</v>
      </c>
      <c r="D95">
        <v>224.89</v>
      </c>
      <c r="E95">
        <v>228.03</v>
      </c>
      <c r="F95">
        <v>35934559</v>
      </c>
    </row>
    <row r="96" spans="1:6" x14ac:dyDescent="0.35">
      <c r="A96" s="1">
        <v>45532</v>
      </c>
      <c r="B96">
        <v>227.92</v>
      </c>
      <c r="C96">
        <v>229.86</v>
      </c>
      <c r="D96">
        <v>225.68</v>
      </c>
      <c r="E96">
        <v>226.49</v>
      </c>
      <c r="F96">
        <v>38052167</v>
      </c>
    </row>
    <row r="97" spans="1:6" x14ac:dyDescent="0.35">
      <c r="A97" s="1">
        <v>45533</v>
      </c>
      <c r="B97">
        <v>230.1</v>
      </c>
      <c r="C97">
        <v>232.92</v>
      </c>
      <c r="D97">
        <v>228.88</v>
      </c>
      <c r="E97">
        <v>229.79</v>
      </c>
      <c r="F97">
        <v>51906297</v>
      </c>
    </row>
    <row r="98" spans="1:6" x14ac:dyDescent="0.35">
      <c r="A98" s="1">
        <v>45534</v>
      </c>
      <c r="B98">
        <v>230.19</v>
      </c>
      <c r="C98">
        <v>230.4</v>
      </c>
      <c r="D98">
        <v>227.48</v>
      </c>
      <c r="E98">
        <v>229</v>
      </c>
      <c r="F98">
        <v>52990770</v>
      </c>
    </row>
    <row r="99" spans="1:6" x14ac:dyDescent="0.35">
      <c r="A99" s="1">
        <v>45538</v>
      </c>
      <c r="B99">
        <v>228.55</v>
      </c>
      <c r="C99">
        <v>229</v>
      </c>
      <c r="D99">
        <v>221.17</v>
      </c>
      <c r="E99">
        <v>222.77</v>
      </c>
      <c r="F99">
        <v>50190574</v>
      </c>
    </row>
    <row r="100" spans="1:6" x14ac:dyDescent="0.35">
      <c r="A100" s="1">
        <v>45539</v>
      </c>
      <c r="B100">
        <v>221.66</v>
      </c>
      <c r="C100">
        <v>221.78</v>
      </c>
      <c r="D100">
        <v>217.48</v>
      </c>
      <c r="E100">
        <v>220.85</v>
      </c>
      <c r="F100">
        <v>43262758</v>
      </c>
    </row>
    <row r="101" spans="1:6" x14ac:dyDescent="0.35">
      <c r="A101" s="1">
        <v>45540</v>
      </c>
      <c r="B101">
        <v>221.625</v>
      </c>
      <c r="C101">
        <v>225.48</v>
      </c>
      <c r="D101">
        <v>221.52</v>
      </c>
      <c r="E101">
        <v>222.38</v>
      </c>
      <c r="F101">
        <v>36615398</v>
      </c>
    </row>
    <row r="102" spans="1:6" x14ac:dyDescent="0.35">
      <c r="A102" s="1">
        <v>45541</v>
      </c>
      <c r="B102">
        <v>223.95</v>
      </c>
      <c r="C102">
        <v>225.24</v>
      </c>
      <c r="D102">
        <v>219.77</v>
      </c>
      <c r="E102">
        <v>220.82</v>
      </c>
      <c r="F102">
        <v>48423011</v>
      </c>
    </row>
    <row r="103" spans="1:6" x14ac:dyDescent="0.35">
      <c r="A103" s="1">
        <v>45544</v>
      </c>
      <c r="B103">
        <v>220.82</v>
      </c>
      <c r="C103">
        <v>221.27</v>
      </c>
      <c r="D103">
        <v>216.71</v>
      </c>
      <c r="E103">
        <v>220.91</v>
      </c>
      <c r="F103">
        <v>67179965</v>
      </c>
    </row>
    <row r="104" spans="1:6" x14ac:dyDescent="0.35">
      <c r="A104" s="1">
        <v>45545</v>
      </c>
      <c r="B104">
        <v>218.92</v>
      </c>
      <c r="C104">
        <v>221.48</v>
      </c>
      <c r="D104">
        <v>216.73</v>
      </c>
      <c r="E104">
        <v>220.11</v>
      </c>
      <c r="F104">
        <v>51591033</v>
      </c>
    </row>
    <row r="105" spans="1:6" x14ac:dyDescent="0.35">
      <c r="A105" s="1">
        <v>45546</v>
      </c>
      <c r="B105">
        <v>221.45500000000001</v>
      </c>
      <c r="C105">
        <v>223.09</v>
      </c>
      <c r="D105">
        <v>217.89</v>
      </c>
      <c r="E105">
        <v>222.66</v>
      </c>
      <c r="F105">
        <v>44587072</v>
      </c>
    </row>
    <row r="106" spans="1:6" x14ac:dyDescent="0.35">
      <c r="A106" s="1">
        <v>45547</v>
      </c>
      <c r="B106">
        <v>222.5</v>
      </c>
      <c r="C106">
        <v>223.55</v>
      </c>
      <c r="D106">
        <v>219.82</v>
      </c>
      <c r="E106">
        <v>222.77</v>
      </c>
      <c r="F106">
        <v>37498225</v>
      </c>
    </row>
    <row r="107" spans="1:6" x14ac:dyDescent="0.35">
      <c r="A107" s="1">
        <v>45548</v>
      </c>
      <c r="B107">
        <v>223.58</v>
      </c>
      <c r="C107">
        <v>224.04</v>
      </c>
      <c r="D107">
        <v>221.91</v>
      </c>
      <c r="E107">
        <v>222.5</v>
      </c>
      <c r="F107">
        <v>36766619</v>
      </c>
    </row>
    <row r="108" spans="1:6" x14ac:dyDescent="0.35">
      <c r="A108" s="1">
        <v>45551</v>
      </c>
      <c r="B108">
        <v>216.54</v>
      </c>
      <c r="C108">
        <v>217.22</v>
      </c>
      <c r="D108">
        <v>213.92</v>
      </c>
      <c r="E108">
        <v>216.32</v>
      </c>
      <c r="F108">
        <v>59357427</v>
      </c>
    </row>
    <row r="109" spans="1:6" x14ac:dyDescent="0.35">
      <c r="A109" s="1">
        <v>45552</v>
      </c>
      <c r="B109">
        <v>215.75</v>
      </c>
      <c r="C109">
        <v>216.9</v>
      </c>
      <c r="D109">
        <v>214.5</v>
      </c>
      <c r="E109">
        <v>216.79</v>
      </c>
      <c r="F109">
        <v>45519339</v>
      </c>
    </row>
    <row r="110" spans="1:6" x14ac:dyDescent="0.35">
      <c r="A110" s="1">
        <v>45553</v>
      </c>
      <c r="B110">
        <v>217.55</v>
      </c>
      <c r="C110">
        <v>222.71</v>
      </c>
      <c r="D110">
        <v>217.54</v>
      </c>
      <c r="E110">
        <v>220.69</v>
      </c>
      <c r="F110">
        <v>59894928</v>
      </c>
    </row>
    <row r="111" spans="1:6" x14ac:dyDescent="0.35">
      <c r="A111" s="1">
        <v>45554</v>
      </c>
      <c r="B111">
        <v>224.99</v>
      </c>
      <c r="C111">
        <v>229.82</v>
      </c>
      <c r="D111">
        <v>224.63</v>
      </c>
      <c r="E111">
        <v>228.87</v>
      </c>
      <c r="F111">
        <v>66781315</v>
      </c>
    </row>
    <row r="112" spans="1:6" x14ac:dyDescent="0.35">
      <c r="A112" s="1">
        <v>45555</v>
      </c>
      <c r="B112">
        <v>229.97</v>
      </c>
      <c r="C112">
        <v>233.09</v>
      </c>
      <c r="D112">
        <v>227.62</v>
      </c>
      <c r="E112">
        <v>228.2</v>
      </c>
      <c r="F112">
        <v>318679888</v>
      </c>
    </row>
    <row r="113" spans="1:6" x14ac:dyDescent="0.35">
      <c r="A113" s="1">
        <v>45558</v>
      </c>
      <c r="B113">
        <v>227.34</v>
      </c>
      <c r="C113">
        <v>229.45</v>
      </c>
      <c r="D113">
        <v>225.81</v>
      </c>
      <c r="E113">
        <v>226.47</v>
      </c>
      <c r="F113">
        <v>54146023</v>
      </c>
    </row>
    <row r="114" spans="1:6" x14ac:dyDescent="0.35">
      <c r="A114" s="1">
        <v>45559</v>
      </c>
      <c r="B114">
        <v>228.64500000000001</v>
      </c>
      <c r="C114">
        <v>229.35</v>
      </c>
      <c r="D114">
        <v>225.73</v>
      </c>
      <c r="E114">
        <v>227.37</v>
      </c>
      <c r="F114">
        <v>43556068</v>
      </c>
    </row>
    <row r="115" spans="1:6" x14ac:dyDescent="0.35">
      <c r="A115" s="1">
        <v>45560</v>
      </c>
      <c r="B115">
        <v>224.93</v>
      </c>
      <c r="C115">
        <v>227.29</v>
      </c>
      <c r="D115">
        <v>224.02</v>
      </c>
      <c r="E115">
        <v>226.37</v>
      </c>
      <c r="F115">
        <v>42308715</v>
      </c>
    </row>
    <row r="116" spans="1:6" x14ac:dyDescent="0.35">
      <c r="A116" s="1">
        <v>45561</v>
      </c>
      <c r="B116">
        <v>227.3</v>
      </c>
      <c r="C116">
        <v>228.5</v>
      </c>
      <c r="D116">
        <v>225.41</v>
      </c>
      <c r="E116">
        <v>227.52</v>
      </c>
      <c r="F116">
        <v>36636707</v>
      </c>
    </row>
    <row r="117" spans="1:6" x14ac:dyDescent="0.35">
      <c r="A117" s="1">
        <v>45562</v>
      </c>
      <c r="B117">
        <v>228.46</v>
      </c>
      <c r="C117">
        <v>229.52</v>
      </c>
      <c r="D117">
        <v>227.3</v>
      </c>
      <c r="E117">
        <v>227.79</v>
      </c>
      <c r="F117">
        <v>34025967</v>
      </c>
    </row>
    <row r="118" spans="1:6" x14ac:dyDescent="0.35">
      <c r="A118" s="1">
        <v>45565</v>
      </c>
      <c r="B118">
        <v>230.04</v>
      </c>
      <c r="C118">
        <v>233</v>
      </c>
      <c r="D118">
        <v>229.65</v>
      </c>
      <c r="E118">
        <v>233</v>
      </c>
      <c r="F118">
        <v>54793391</v>
      </c>
    </row>
    <row r="119" spans="1:6" x14ac:dyDescent="0.35">
      <c r="A119" s="1">
        <v>45566</v>
      </c>
      <c r="B119">
        <v>229.52</v>
      </c>
      <c r="C119">
        <v>229.65</v>
      </c>
      <c r="D119">
        <v>223.74</v>
      </c>
      <c r="E119">
        <v>226.21</v>
      </c>
      <c r="F119">
        <v>63285048</v>
      </c>
    </row>
    <row r="120" spans="1:6" x14ac:dyDescent="0.35">
      <c r="A120" s="1">
        <v>45567</v>
      </c>
      <c r="B120">
        <v>225.89</v>
      </c>
      <c r="C120">
        <v>227.37</v>
      </c>
      <c r="D120">
        <v>223.02</v>
      </c>
      <c r="E120">
        <v>226.78</v>
      </c>
      <c r="F120">
        <v>32880605</v>
      </c>
    </row>
    <row r="121" spans="1:6" x14ac:dyDescent="0.35">
      <c r="A121" s="1">
        <v>45568</v>
      </c>
      <c r="B121">
        <v>225.14</v>
      </c>
      <c r="C121">
        <v>226.80500000000001</v>
      </c>
      <c r="D121">
        <v>223.32</v>
      </c>
      <c r="E121">
        <v>225.67</v>
      </c>
      <c r="F121">
        <v>34044158</v>
      </c>
    </row>
    <row r="122" spans="1:6" x14ac:dyDescent="0.35">
      <c r="A122" s="1">
        <v>45569</v>
      </c>
      <c r="B122">
        <v>227.9</v>
      </c>
      <c r="C122">
        <v>228</v>
      </c>
      <c r="D122">
        <v>224.13</v>
      </c>
      <c r="E122">
        <v>226.8</v>
      </c>
      <c r="F122">
        <v>37345098</v>
      </c>
    </row>
    <row r="123" spans="1:6" x14ac:dyDescent="0.35">
      <c r="A123" s="1">
        <v>45572</v>
      </c>
      <c r="B123">
        <v>224.5</v>
      </c>
      <c r="C123">
        <v>225.69</v>
      </c>
      <c r="D123">
        <v>221.33</v>
      </c>
      <c r="E123">
        <v>221.69</v>
      </c>
      <c r="F123">
        <v>39505354</v>
      </c>
    </row>
    <row r="124" spans="1:6" x14ac:dyDescent="0.35">
      <c r="A124" s="1">
        <v>45573</v>
      </c>
      <c r="B124">
        <v>224.3</v>
      </c>
      <c r="C124">
        <v>225.98</v>
      </c>
      <c r="D124">
        <v>223.25</v>
      </c>
      <c r="E124">
        <v>225.77</v>
      </c>
      <c r="F124">
        <v>31855693</v>
      </c>
    </row>
    <row r="125" spans="1:6" x14ac:dyDescent="0.35">
      <c r="A125" s="1">
        <v>45574</v>
      </c>
      <c r="B125">
        <v>225.23</v>
      </c>
      <c r="C125">
        <v>229.75</v>
      </c>
      <c r="D125">
        <v>224.83</v>
      </c>
      <c r="E125">
        <v>229.54</v>
      </c>
      <c r="F125">
        <v>33591091</v>
      </c>
    </row>
    <row r="126" spans="1:6" x14ac:dyDescent="0.35">
      <c r="A126" s="1">
        <v>45575</v>
      </c>
      <c r="B126">
        <v>227.78</v>
      </c>
      <c r="C126">
        <v>229.5</v>
      </c>
      <c r="D126">
        <v>227.17</v>
      </c>
      <c r="E126">
        <v>229.04</v>
      </c>
      <c r="F126">
        <v>28183544</v>
      </c>
    </row>
    <row r="127" spans="1:6" x14ac:dyDescent="0.35">
      <c r="A127" s="1">
        <v>45576</v>
      </c>
      <c r="B127">
        <v>229.3</v>
      </c>
      <c r="C127">
        <v>229.41</v>
      </c>
      <c r="D127">
        <v>227.34</v>
      </c>
      <c r="E127">
        <v>227.55</v>
      </c>
      <c r="F127">
        <v>31759188</v>
      </c>
    </row>
    <row r="128" spans="1:6" x14ac:dyDescent="0.35">
      <c r="A128" s="1">
        <v>45579</v>
      </c>
      <c r="B128">
        <v>228.7</v>
      </c>
      <c r="C128">
        <v>231.73</v>
      </c>
      <c r="D128">
        <v>228.6</v>
      </c>
      <c r="E128">
        <v>231.3</v>
      </c>
      <c r="F128">
        <v>39882085</v>
      </c>
    </row>
    <row r="129" spans="1:6" x14ac:dyDescent="0.35">
      <c r="A129" s="1">
        <v>45580</v>
      </c>
      <c r="B129">
        <v>233.61</v>
      </c>
      <c r="C129">
        <v>237.49</v>
      </c>
      <c r="D129">
        <v>232.37</v>
      </c>
      <c r="E129">
        <v>233.85</v>
      </c>
      <c r="F129">
        <v>64751367</v>
      </c>
    </row>
    <row r="130" spans="1:6" x14ac:dyDescent="0.35">
      <c r="A130" s="1">
        <v>45581</v>
      </c>
      <c r="B130">
        <v>231.6</v>
      </c>
      <c r="C130">
        <v>232.12</v>
      </c>
      <c r="D130">
        <v>229.84</v>
      </c>
      <c r="E130">
        <v>231.78</v>
      </c>
      <c r="F130">
        <v>34082240</v>
      </c>
    </row>
    <row r="131" spans="1:6" x14ac:dyDescent="0.35">
      <c r="A131" s="1">
        <v>45582</v>
      </c>
      <c r="B131">
        <v>233.43</v>
      </c>
      <c r="C131">
        <v>233.85</v>
      </c>
      <c r="D131">
        <v>230.52</v>
      </c>
      <c r="E131">
        <v>232.15</v>
      </c>
      <c r="F131">
        <v>32993810</v>
      </c>
    </row>
    <row r="132" spans="1:6" x14ac:dyDescent="0.35">
      <c r="A132" s="1">
        <v>45583</v>
      </c>
      <c r="B132">
        <v>236.18</v>
      </c>
      <c r="C132">
        <v>236.18</v>
      </c>
      <c r="D132">
        <v>234.01</v>
      </c>
      <c r="E132">
        <v>235</v>
      </c>
      <c r="F132">
        <v>46431472</v>
      </c>
    </row>
    <row r="133" spans="1:6" x14ac:dyDescent="0.35">
      <c r="A133" s="1">
        <v>45586</v>
      </c>
      <c r="B133">
        <v>234.45</v>
      </c>
      <c r="C133">
        <v>236.85</v>
      </c>
      <c r="D133">
        <v>234.45</v>
      </c>
      <c r="E133">
        <v>236.48</v>
      </c>
      <c r="F133">
        <v>36254470</v>
      </c>
    </row>
    <row r="134" spans="1:6" x14ac:dyDescent="0.35">
      <c r="A134" s="1">
        <v>45587</v>
      </c>
      <c r="B134">
        <v>233.88499999999999</v>
      </c>
      <c r="C134">
        <v>236.22</v>
      </c>
      <c r="D134">
        <v>232.6</v>
      </c>
      <c r="E134">
        <v>235.86</v>
      </c>
      <c r="F134">
        <v>38846578</v>
      </c>
    </row>
    <row r="135" spans="1:6" x14ac:dyDescent="0.35">
      <c r="A135" s="1">
        <v>45588</v>
      </c>
      <c r="B135">
        <v>234.08</v>
      </c>
      <c r="C135">
        <v>235.14400000000001</v>
      </c>
      <c r="D135">
        <v>227.76</v>
      </c>
      <c r="E135">
        <v>230.76</v>
      </c>
      <c r="F135">
        <v>52286979</v>
      </c>
    </row>
    <row r="136" spans="1:6" x14ac:dyDescent="0.35">
      <c r="A136" s="1">
        <v>45589</v>
      </c>
      <c r="B136">
        <v>229.98</v>
      </c>
      <c r="C136">
        <v>230.82</v>
      </c>
      <c r="D136">
        <v>228.41</v>
      </c>
      <c r="E136">
        <v>230.57</v>
      </c>
      <c r="F136">
        <v>31109503</v>
      </c>
    </row>
    <row r="137" spans="1:6" x14ac:dyDescent="0.35">
      <c r="A137" s="1">
        <v>45590</v>
      </c>
      <c r="B137">
        <v>229.74</v>
      </c>
      <c r="C137">
        <v>233.22</v>
      </c>
      <c r="D137">
        <v>229.57</v>
      </c>
      <c r="E137">
        <v>231.41</v>
      </c>
      <c r="F137">
        <v>38802304</v>
      </c>
    </row>
    <row r="138" spans="1:6" x14ac:dyDescent="0.35">
      <c r="A138" s="1">
        <v>45593</v>
      </c>
      <c r="B138">
        <v>233.32</v>
      </c>
      <c r="C138">
        <v>234.73</v>
      </c>
      <c r="D138">
        <v>232.55</v>
      </c>
      <c r="E138">
        <v>233.4</v>
      </c>
      <c r="F138">
        <v>36087134</v>
      </c>
    </row>
    <row r="139" spans="1:6" x14ac:dyDescent="0.35">
      <c r="A139" s="1">
        <v>45594</v>
      </c>
      <c r="B139">
        <v>233.1</v>
      </c>
      <c r="C139">
        <v>234.32499999999999</v>
      </c>
      <c r="D139">
        <v>232.32</v>
      </c>
      <c r="E139">
        <v>233.67</v>
      </c>
      <c r="F139">
        <v>35417247</v>
      </c>
    </row>
    <row r="140" spans="1:6" x14ac:dyDescent="0.35">
      <c r="A140" s="1">
        <v>45595</v>
      </c>
      <c r="B140">
        <v>232.61</v>
      </c>
      <c r="C140">
        <v>233.47</v>
      </c>
      <c r="D140">
        <v>229.55</v>
      </c>
      <c r="E140">
        <v>230.1</v>
      </c>
      <c r="F140">
        <v>47070907</v>
      </c>
    </row>
    <row r="141" spans="1:6" x14ac:dyDescent="0.35">
      <c r="A141" s="1">
        <v>45596</v>
      </c>
      <c r="B141">
        <v>229.34</v>
      </c>
      <c r="C141">
        <v>229.83</v>
      </c>
      <c r="D141">
        <v>225.37</v>
      </c>
      <c r="E141">
        <v>225.91</v>
      </c>
      <c r="F141">
        <v>64370086</v>
      </c>
    </row>
    <row r="142" spans="1:6" x14ac:dyDescent="0.35">
      <c r="A142" s="1">
        <v>45597</v>
      </c>
      <c r="B142">
        <v>220.965</v>
      </c>
      <c r="C142">
        <v>225.35</v>
      </c>
      <c r="D142">
        <v>220.27</v>
      </c>
      <c r="E142">
        <v>222.91</v>
      </c>
      <c r="F142">
        <v>65276741</v>
      </c>
    </row>
    <row r="143" spans="1:6" x14ac:dyDescent="0.35">
      <c r="A143" s="1">
        <v>45600</v>
      </c>
      <c r="B143">
        <v>220.99</v>
      </c>
      <c r="C143">
        <v>222.79</v>
      </c>
      <c r="D143">
        <v>219.71</v>
      </c>
      <c r="E143">
        <v>222.01</v>
      </c>
      <c r="F143">
        <v>44944468</v>
      </c>
    </row>
    <row r="144" spans="1:6" x14ac:dyDescent="0.35">
      <c r="A144" s="1">
        <v>45601</v>
      </c>
      <c r="B144">
        <v>221.79499999999999</v>
      </c>
      <c r="C144">
        <v>223.95</v>
      </c>
      <c r="D144">
        <v>221.14</v>
      </c>
      <c r="E144">
        <v>223.45</v>
      </c>
      <c r="F144">
        <v>28111338</v>
      </c>
    </row>
    <row r="145" spans="1:6" x14ac:dyDescent="0.35">
      <c r="A145" s="1">
        <v>45602</v>
      </c>
      <c r="B145">
        <v>222.61</v>
      </c>
      <c r="C145">
        <v>226.065</v>
      </c>
      <c r="D145">
        <v>221.19</v>
      </c>
      <c r="E145">
        <v>222.72</v>
      </c>
      <c r="F145">
        <v>54561121</v>
      </c>
    </row>
    <row r="146" spans="1:6" x14ac:dyDescent="0.35">
      <c r="A146" s="1">
        <v>45603</v>
      </c>
      <c r="B146">
        <v>224.625</v>
      </c>
      <c r="C146">
        <v>227.875</v>
      </c>
      <c r="D146">
        <v>224.57</v>
      </c>
      <c r="E146">
        <v>227.48</v>
      </c>
      <c r="F146">
        <v>42137691</v>
      </c>
    </row>
    <row r="147" spans="1:6" x14ac:dyDescent="0.35">
      <c r="A147" s="1">
        <v>45604</v>
      </c>
      <c r="B147">
        <v>227.17</v>
      </c>
      <c r="C147">
        <v>228.66</v>
      </c>
      <c r="D147">
        <v>226.405</v>
      </c>
      <c r="E147">
        <v>226.96</v>
      </c>
      <c r="F147">
        <v>38328824</v>
      </c>
    </row>
    <row r="148" spans="1:6" x14ac:dyDescent="0.35">
      <c r="A148" s="1">
        <v>45607</v>
      </c>
      <c r="B148">
        <v>225</v>
      </c>
      <c r="C148">
        <v>225.7</v>
      </c>
      <c r="D148">
        <v>221.5</v>
      </c>
      <c r="E148">
        <v>224.23</v>
      </c>
      <c r="F148">
        <v>42005602</v>
      </c>
    </row>
    <row r="149" spans="1:6" x14ac:dyDescent="0.35">
      <c r="A149" s="1">
        <v>45608</v>
      </c>
      <c r="B149">
        <v>224.55</v>
      </c>
      <c r="C149">
        <v>225.59</v>
      </c>
      <c r="D149">
        <v>223.35499999999999</v>
      </c>
      <c r="E149">
        <v>224.23</v>
      </c>
      <c r="F149">
        <v>40398299</v>
      </c>
    </row>
    <row r="150" spans="1:6" x14ac:dyDescent="0.35">
      <c r="A150" s="1">
        <v>45609</v>
      </c>
      <c r="B150">
        <v>224.01</v>
      </c>
      <c r="C150">
        <v>226.65</v>
      </c>
      <c r="D150">
        <v>222.76</v>
      </c>
      <c r="E150">
        <v>225.12</v>
      </c>
      <c r="F150">
        <v>48566217</v>
      </c>
    </row>
    <row r="151" spans="1:6" x14ac:dyDescent="0.35">
      <c r="A151" s="1">
        <v>45610</v>
      </c>
      <c r="B151">
        <v>225.02</v>
      </c>
      <c r="C151">
        <v>228.87</v>
      </c>
      <c r="D151">
        <v>225</v>
      </c>
      <c r="E151">
        <v>228.22</v>
      </c>
      <c r="F151">
        <v>44923941</v>
      </c>
    </row>
    <row r="152" spans="1:6" x14ac:dyDescent="0.35">
      <c r="A152" s="1">
        <v>45611</v>
      </c>
      <c r="B152">
        <v>226.4</v>
      </c>
      <c r="C152">
        <v>226.92</v>
      </c>
      <c r="D152">
        <v>224.27</v>
      </c>
      <c r="E152">
        <v>225</v>
      </c>
      <c r="F152">
        <v>47923696</v>
      </c>
    </row>
    <row r="153" spans="1:6" x14ac:dyDescent="0.35">
      <c r="A153" s="1">
        <v>45614</v>
      </c>
      <c r="B153">
        <v>225.25</v>
      </c>
      <c r="C153">
        <v>229.74</v>
      </c>
      <c r="D153">
        <v>225.17</v>
      </c>
      <c r="E153">
        <v>228.02</v>
      </c>
      <c r="F153">
        <v>44686020</v>
      </c>
    </row>
    <row r="154" spans="1:6" x14ac:dyDescent="0.35">
      <c r="A154" s="1">
        <v>45615</v>
      </c>
      <c r="B154">
        <v>226.98</v>
      </c>
      <c r="C154">
        <v>230.16</v>
      </c>
      <c r="D154">
        <v>226.66</v>
      </c>
      <c r="E154">
        <v>228.28</v>
      </c>
      <c r="F154">
        <v>36211774</v>
      </c>
    </row>
    <row r="155" spans="1:6" x14ac:dyDescent="0.35">
      <c r="A155" s="1">
        <v>45616</v>
      </c>
      <c r="B155">
        <v>228.06</v>
      </c>
      <c r="C155">
        <v>229.93</v>
      </c>
      <c r="D155">
        <v>225.89</v>
      </c>
      <c r="E155">
        <v>229</v>
      </c>
      <c r="F155">
        <v>35169566</v>
      </c>
    </row>
    <row r="156" spans="1:6" x14ac:dyDescent="0.35">
      <c r="A156" s="1">
        <v>45617</v>
      </c>
      <c r="B156">
        <v>228.88</v>
      </c>
      <c r="C156">
        <v>230.155</v>
      </c>
      <c r="D156">
        <v>225.71029999999999</v>
      </c>
      <c r="E156">
        <v>228.52</v>
      </c>
      <c r="F156">
        <v>42108327</v>
      </c>
    </row>
    <row r="157" spans="1:6" x14ac:dyDescent="0.35">
      <c r="A157" s="1">
        <v>45618</v>
      </c>
      <c r="B157">
        <v>228.06</v>
      </c>
      <c r="C157">
        <v>230.7199</v>
      </c>
      <c r="D157">
        <v>228.06</v>
      </c>
      <c r="E157">
        <v>229.87</v>
      </c>
      <c r="F157">
        <v>38168252</v>
      </c>
    </row>
    <row r="158" spans="1:6" x14ac:dyDescent="0.35">
      <c r="A158" s="1">
        <v>45621</v>
      </c>
      <c r="B158">
        <v>231.46</v>
      </c>
      <c r="C158">
        <v>233.245</v>
      </c>
      <c r="D158">
        <v>229.74</v>
      </c>
      <c r="E158">
        <v>232.87</v>
      </c>
      <c r="F158">
        <v>90152832</v>
      </c>
    </row>
    <row r="159" spans="1:6" x14ac:dyDescent="0.35">
      <c r="A159" s="1">
        <v>45622</v>
      </c>
      <c r="B159">
        <v>233.33</v>
      </c>
      <c r="C159">
        <v>235.57</v>
      </c>
      <c r="D159">
        <v>233.33</v>
      </c>
      <c r="E159">
        <v>235.06</v>
      </c>
      <c r="F159">
        <v>45986189</v>
      </c>
    </row>
    <row r="160" spans="1:6" x14ac:dyDescent="0.35">
      <c r="A160" s="1">
        <v>45623</v>
      </c>
      <c r="B160">
        <v>234.465</v>
      </c>
      <c r="C160">
        <v>235.69</v>
      </c>
      <c r="D160">
        <v>233.81010000000001</v>
      </c>
      <c r="E160">
        <v>234.93</v>
      </c>
      <c r="F160">
        <v>33498439</v>
      </c>
    </row>
    <row r="161" spans="1:6" x14ac:dyDescent="0.35">
      <c r="A161" s="1">
        <v>45625</v>
      </c>
      <c r="B161">
        <v>234.81</v>
      </c>
      <c r="C161">
        <v>237.81</v>
      </c>
      <c r="D161">
        <v>233.97</v>
      </c>
      <c r="E161">
        <v>237.33</v>
      </c>
      <c r="F161">
        <v>28481377</v>
      </c>
    </row>
    <row r="162" spans="1:6" x14ac:dyDescent="0.35">
      <c r="A162" s="1">
        <v>45628</v>
      </c>
      <c r="B162">
        <v>237.27</v>
      </c>
      <c r="C162">
        <v>240.79</v>
      </c>
      <c r="D162">
        <v>237.16</v>
      </c>
      <c r="E162">
        <v>239.59</v>
      </c>
      <c r="F162">
        <v>48137103</v>
      </c>
    </row>
    <row r="163" spans="1:6" x14ac:dyDescent="0.35">
      <c r="A163" s="1">
        <v>45629</v>
      </c>
      <c r="B163">
        <v>239.81</v>
      </c>
      <c r="C163">
        <v>242.76</v>
      </c>
      <c r="D163">
        <v>238.9</v>
      </c>
      <c r="E163">
        <v>242.65</v>
      </c>
      <c r="F163">
        <v>38861017</v>
      </c>
    </row>
    <row r="164" spans="1:6" x14ac:dyDescent="0.35">
      <c r="A164" s="1">
        <v>45630</v>
      </c>
      <c r="B164">
        <v>242.87</v>
      </c>
      <c r="C164">
        <v>244.11</v>
      </c>
      <c r="D164">
        <v>241.25</v>
      </c>
      <c r="E164">
        <v>243.01</v>
      </c>
      <c r="F164">
        <v>44383935</v>
      </c>
    </row>
    <row r="165" spans="1:6" x14ac:dyDescent="0.35">
      <c r="A165" s="1">
        <v>45631</v>
      </c>
      <c r="B165">
        <v>243.99</v>
      </c>
      <c r="C165">
        <v>244.54</v>
      </c>
      <c r="D165">
        <v>242.13</v>
      </c>
      <c r="E165">
        <v>243.04</v>
      </c>
      <c r="F165">
        <v>40033878</v>
      </c>
    </row>
    <row r="166" spans="1:6" x14ac:dyDescent="0.35">
      <c r="A166" s="1">
        <v>45632</v>
      </c>
      <c r="B166">
        <v>242.905</v>
      </c>
      <c r="C166">
        <v>244.63</v>
      </c>
      <c r="D166">
        <v>242.08</v>
      </c>
      <c r="E166">
        <v>242.84</v>
      </c>
      <c r="F166">
        <v>36870619</v>
      </c>
    </row>
    <row r="167" spans="1:6" x14ac:dyDescent="0.35">
      <c r="A167" s="1">
        <v>45635</v>
      </c>
      <c r="B167">
        <v>241.83</v>
      </c>
      <c r="C167">
        <v>247.24</v>
      </c>
      <c r="D167">
        <v>241.75</v>
      </c>
      <c r="E167">
        <v>246.75</v>
      </c>
      <c r="F167">
        <v>44649232</v>
      </c>
    </row>
    <row r="168" spans="1:6" x14ac:dyDescent="0.35">
      <c r="A168" s="1">
        <v>45636</v>
      </c>
      <c r="B168">
        <v>246.89</v>
      </c>
      <c r="C168">
        <v>248.21</v>
      </c>
      <c r="D168">
        <v>245.34</v>
      </c>
      <c r="E168">
        <v>247.77</v>
      </c>
      <c r="F168">
        <v>36914806</v>
      </c>
    </row>
    <row r="169" spans="1:6" x14ac:dyDescent="0.35">
      <c r="A169" s="1">
        <v>45637</v>
      </c>
      <c r="B169">
        <v>247.96</v>
      </c>
      <c r="C169">
        <v>250.8</v>
      </c>
      <c r="D169">
        <v>246.26009999999999</v>
      </c>
      <c r="E169">
        <v>246.49</v>
      </c>
      <c r="F169">
        <v>45205814</v>
      </c>
    </row>
    <row r="170" spans="1:6" x14ac:dyDescent="0.35">
      <c r="A170" s="1">
        <v>45638</v>
      </c>
      <c r="B170">
        <v>246.89</v>
      </c>
      <c r="C170">
        <v>248.74</v>
      </c>
      <c r="D170">
        <v>245.68</v>
      </c>
      <c r="E170">
        <v>247.96</v>
      </c>
      <c r="F170">
        <v>32777532</v>
      </c>
    </row>
    <row r="171" spans="1:6" x14ac:dyDescent="0.35">
      <c r="A171" s="1">
        <v>45639</v>
      </c>
      <c r="B171">
        <v>247.815</v>
      </c>
      <c r="C171">
        <v>249.2902</v>
      </c>
      <c r="D171">
        <v>246.24</v>
      </c>
      <c r="E171">
        <v>248.13</v>
      </c>
      <c r="F171">
        <v>33155290</v>
      </c>
    </row>
    <row r="172" spans="1:6" x14ac:dyDescent="0.35">
      <c r="A172" s="1">
        <v>45642</v>
      </c>
      <c r="B172">
        <v>247.99</v>
      </c>
      <c r="C172">
        <v>251.38</v>
      </c>
      <c r="D172">
        <v>247.65</v>
      </c>
      <c r="E172">
        <v>251.04</v>
      </c>
      <c r="F172">
        <v>51694753</v>
      </c>
    </row>
    <row r="173" spans="1:6" x14ac:dyDescent="0.35">
      <c r="A173" s="1">
        <v>45643</v>
      </c>
      <c r="B173">
        <v>250.08</v>
      </c>
      <c r="C173">
        <v>253.83</v>
      </c>
      <c r="D173">
        <v>249.78</v>
      </c>
      <c r="E173">
        <v>253.48</v>
      </c>
      <c r="F173">
        <v>51356360</v>
      </c>
    </row>
    <row r="174" spans="1:6" x14ac:dyDescent="0.35">
      <c r="A174" s="1">
        <v>45644</v>
      </c>
      <c r="B174">
        <v>252.16</v>
      </c>
      <c r="C174">
        <v>254.28</v>
      </c>
      <c r="D174">
        <v>247.74</v>
      </c>
      <c r="E174">
        <v>248.05</v>
      </c>
      <c r="F174">
        <v>56774101</v>
      </c>
    </row>
    <row r="175" spans="1:6" x14ac:dyDescent="0.35">
      <c r="A175" s="1">
        <v>45645</v>
      </c>
      <c r="B175">
        <v>247.5</v>
      </c>
      <c r="C175">
        <v>252</v>
      </c>
      <c r="D175">
        <v>247.0949</v>
      </c>
      <c r="E175">
        <v>249.79</v>
      </c>
      <c r="F175">
        <v>60882264</v>
      </c>
    </row>
    <row r="176" spans="1:6" x14ac:dyDescent="0.35">
      <c r="A176" s="1">
        <v>45646</v>
      </c>
      <c r="B176">
        <v>248.04</v>
      </c>
      <c r="C176">
        <v>255</v>
      </c>
      <c r="D176">
        <v>245.69</v>
      </c>
      <c r="E176">
        <v>254.49</v>
      </c>
      <c r="F176">
        <v>147495267</v>
      </c>
    </row>
    <row r="177" spans="1:6" x14ac:dyDescent="0.35">
      <c r="A177" s="1">
        <v>45649</v>
      </c>
      <c r="B177">
        <v>254.77</v>
      </c>
      <c r="C177">
        <v>255.65</v>
      </c>
      <c r="D177">
        <v>253.45</v>
      </c>
      <c r="E177">
        <v>255.27</v>
      </c>
      <c r="F177">
        <v>40858774</v>
      </c>
    </row>
    <row r="178" spans="1:6" x14ac:dyDescent="0.35">
      <c r="A178" s="1">
        <v>45650</v>
      </c>
      <c r="B178">
        <v>255.49</v>
      </c>
      <c r="C178">
        <v>258.20999999999998</v>
      </c>
      <c r="D178">
        <v>255.29</v>
      </c>
      <c r="E178">
        <v>258.2</v>
      </c>
      <c r="F178">
        <v>23234705</v>
      </c>
    </row>
    <row r="179" spans="1:6" x14ac:dyDescent="0.35">
      <c r="A179" s="1">
        <v>45652</v>
      </c>
      <c r="B179">
        <v>258.19</v>
      </c>
      <c r="C179">
        <v>260.10000000000002</v>
      </c>
      <c r="D179">
        <v>257.63</v>
      </c>
      <c r="E179">
        <v>259.02</v>
      </c>
      <c r="F179">
        <v>27262983</v>
      </c>
    </row>
    <row r="180" spans="1:6" x14ac:dyDescent="0.35">
      <c r="A180" s="1">
        <v>45653</v>
      </c>
      <c r="B180">
        <v>257.83</v>
      </c>
      <c r="C180">
        <v>258.7</v>
      </c>
      <c r="D180">
        <v>253.06</v>
      </c>
      <c r="E180">
        <v>255.59</v>
      </c>
      <c r="F180">
        <v>42355321</v>
      </c>
    </row>
    <row r="181" spans="1:6" x14ac:dyDescent="0.35">
      <c r="A181" s="1">
        <v>45656</v>
      </c>
      <c r="B181">
        <v>252.23</v>
      </c>
      <c r="C181">
        <v>253.5</v>
      </c>
      <c r="D181">
        <v>250.75</v>
      </c>
      <c r="E181">
        <v>252.2</v>
      </c>
      <c r="F181">
        <v>35557542</v>
      </c>
    </row>
    <row r="182" spans="1:6" x14ac:dyDescent="0.35">
      <c r="A182" s="1">
        <v>45657</v>
      </c>
      <c r="B182">
        <v>252.44</v>
      </c>
      <c r="C182">
        <v>253.28</v>
      </c>
      <c r="D182">
        <v>249.43</v>
      </c>
      <c r="E182">
        <v>250.42</v>
      </c>
      <c r="F182">
        <v>39480718</v>
      </c>
    </row>
    <row r="183" spans="1:6" x14ac:dyDescent="0.35">
      <c r="A183" s="1">
        <v>45659</v>
      </c>
      <c r="B183">
        <v>248.93</v>
      </c>
      <c r="C183">
        <v>249.1</v>
      </c>
      <c r="D183">
        <v>241.8201</v>
      </c>
      <c r="E183">
        <v>243.85</v>
      </c>
      <c r="F183">
        <v>55740731</v>
      </c>
    </row>
    <row r="184" spans="1:6" x14ac:dyDescent="0.35">
      <c r="A184" s="1">
        <v>45660</v>
      </c>
      <c r="B184">
        <v>243.36</v>
      </c>
      <c r="C184">
        <v>244.18</v>
      </c>
      <c r="D184">
        <v>241.89</v>
      </c>
      <c r="E184">
        <v>243.36</v>
      </c>
      <c r="F184">
        <v>40244114</v>
      </c>
    </row>
    <row r="185" spans="1:6" x14ac:dyDescent="0.35">
      <c r="A185" s="1">
        <v>45663</v>
      </c>
      <c r="B185">
        <v>244.31</v>
      </c>
      <c r="C185">
        <v>247.33</v>
      </c>
      <c r="D185">
        <v>243.2</v>
      </c>
      <c r="E185">
        <v>245</v>
      </c>
      <c r="F185">
        <v>45045571</v>
      </c>
    </row>
    <row r="186" spans="1:6" x14ac:dyDescent="0.35">
      <c r="A186" s="1">
        <v>45664</v>
      </c>
      <c r="B186">
        <v>242.98</v>
      </c>
      <c r="C186">
        <v>245.55</v>
      </c>
      <c r="D186">
        <v>241.35</v>
      </c>
      <c r="E186">
        <v>242.21</v>
      </c>
      <c r="F186">
        <v>40855960</v>
      </c>
    </row>
    <row r="187" spans="1:6" x14ac:dyDescent="0.35">
      <c r="A187" s="1">
        <v>45665</v>
      </c>
      <c r="B187">
        <v>241.92</v>
      </c>
      <c r="C187">
        <v>243.7123</v>
      </c>
      <c r="D187">
        <v>240.05</v>
      </c>
      <c r="E187">
        <v>242.7</v>
      </c>
      <c r="F187">
        <v>37628940</v>
      </c>
    </row>
    <row r="188" spans="1:6" x14ac:dyDescent="0.35">
      <c r="A188" s="1">
        <v>45667</v>
      </c>
      <c r="B188">
        <v>240.01</v>
      </c>
      <c r="C188">
        <v>240.16</v>
      </c>
      <c r="D188">
        <v>233</v>
      </c>
      <c r="E188">
        <v>236.85</v>
      </c>
      <c r="F188">
        <v>61710856</v>
      </c>
    </row>
    <row r="189" spans="1:6" x14ac:dyDescent="0.35">
      <c r="A189" s="1">
        <v>45670</v>
      </c>
      <c r="B189">
        <v>233.53</v>
      </c>
      <c r="C189">
        <v>234.67</v>
      </c>
      <c r="D189">
        <v>229.72</v>
      </c>
      <c r="E189">
        <v>234.4</v>
      </c>
      <c r="F189">
        <v>49630725</v>
      </c>
    </row>
    <row r="190" spans="1:6" x14ac:dyDescent="0.35">
      <c r="A190" s="1">
        <v>45671</v>
      </c>
      <c r="B190">
        <v>234.75</v>
      </c>
      <c r="C190">
        <v>236.12</v>
      </c>
      <c r="D190">
        <v>232.47200000000001</v>
      </c>
      <c r="E190">
        <v>233.28</v>
      </c>
      <c r="F190">
        <v>39435294</v>
      </c>
    </row>
    <row r="191" spans="1:6" x14ac:dyDescent="0.35">
      <c r="A191" s="1">
        <v>45672</v>
      </c>
      <c r="B191">
        <v>234.63499999999999</v>
      </c>
      <c r="C191">
        <v>238.96</v>
      </c>
      <c r="D191">
        <v>234.43</v>
      </c>
      <c r="E191">
        <v>237.87</v>
      </c>
      <c r="F191">
        <v>39831969</v>
      </c>
    </row>
    <row r="192" spans="1:6" x14ac:dyDescent="0.35">
      <c r="A192" s="1">
        <v>45673</v>
      </c>
      <c r="B192">
        <v>237.35</v>
      </c>
      <c r="C192">
        <v>238.01</v>
      </c>
      <c r="D192">
        <v>228.03</v>
      </c>
      <c r="E192">
        <v>228.26</v>
      </c>
      <c r="F192">
        <v>71759052</v>
      </c>
    </row>
    <row r="193" spans="1:6" x14ac:dyDescent="0.35">
      <c r="A193" s="1">
        <v>45674</v>
      </c>
      <c r="B193">
        <v>232.11500000000001</v>
      </c>
      <c r="C193">
        <v>232.29</v>
      </c>
      <c r="D193">
        <v>228.48</v>
      </c>
      <c r="E193">
        <v>229.98</v>
      </c>
      <c r="F193">
        <v>68488301</v>
      </c>
    </row>
    <row r="194" spans="1:6" x14ac:dyDescent="0.35">
      <c r="A194" s="1">
        <v>45678</v>
      </c>
      <c r="B194">
        <v>224</v>
      </c>
      <c r="C194">
        <v>224.42</v>
      </c>
      <c r="D194">
        <v>219.38</v>
      </c>
      <c r="E194">
        <v>222.64</v>
      </c>
      <c r="F194">
        <v>98070429</v>
      </c>
    </row>
    <row r="195" spans="1:6" x14ac:dyDescent="0.35">
      <c r="A195" s="1">
        <v>45679</v>
      </c>
      <c r="B195">
        <v>219.79</v>
      </c>
      <c r="C195">
        <v>224.12</v>
      </c>
      <c r="D195">
        <v>219.79</v>
      </c>
      <c r="E195">
        <v>223.83</v>
      </c>
      <c r="F195">
        <v>64126500</v>
      </c>
    </row>
    <row r="196" spans="1:6" x14ac:dyDescent="0.35">
      <c r="A196" s="1">
        <v>45680</v>
      </c>
      <c r="B196">
        <v>224.74</v>
      </c>
      <c r="C196">
        <v>227.03</v>
      </c>
      <c r="D196">
        <v>222.3</v>
      </c>
      <c r="E196">
        <v>223.66</v>
      </c>
      <c r="F196">
        <v>60234760</v>
      </c>
    </row>
    <row r="197" spans="1:6" x14ac:dyDescent="0.35">
      <c r="A197" s="1">
        <v>45681</v>
      </c>
      <c r="B197">
        <v>224.78</v>
      </c>
      <c r="C197">
        <v>225.63</v>
      </c>
      <c r="D197">
        <v>221.41</v>
      </c>
      <c r="E197">
        <v>222.78</v>
      </c>
      <c r="F197">
        <v>54697907</v>
      </c>
    </row>
    <row r="198" spans="1:6" x14ac:dyDescent="0.35">
      <c r="A198" s="1">
        <v>45684</v>
      </c>
      <c r="B198">
        <v>224.02</v>
      </c>
      <c r="C198">
        <v>232.15</v>
      </c>
      <c r="D198">
        <v>223.98</v>
      </c>
      <c r="E198">
        <v>229.86</v>
      </c>
      <c r="F198">
        <v>94863418</v>
      </c>
    </row>
    <row r="199" spans="1:6" x14ac:dyDescent="0.35">
      <c r="A199" s="1">
        <v>45685</v>
      </c>
      <c r="B199">
        <v>230.85</v>
      </c>
      <c r="C199">
        <v>240.19</v>
      </c>
      <c r="D199">
        <v>230.81</v>
      </c>
      <c r="E199">
        <v>238.26</v>
      </c>
      <c r="F199">
        <v>75707569</v>
      </c>
    </row>
    <row r="200" spans="1:6" x14ac:dyDescent="0.35">
      <c r="A200" s="1">
        <v>45686</v>
      </c>
      <c r="B200">
        <v>234.12</v>
      </c>
      <c r="C200">
        <v>239.85499999999999</v>
      </c>
      <c r="D200">
        <v>234.01</v>
      </c>
      <c r="E200">
        <v>239.36</v>
      </c>
      <c r="F200">
        <v>45486100</v>
      </c>
    </row>
    <row r="201" spans="1:6" x14ac:dyDescent="0.35">
      <c r="A201" s="1">
        <v>45687</v>
      </c>
      <c r="B201">
        <v>238.66499999999999</v>
      </c>
      <c r="C201">
        <v>240.79</v>
      </c>
      <c r="D201">
        <v>237.21</v>
      </c>
      <c r="E201">
        <v>237.59</v>
      </c>
      <c r="F201">
        <v>55658279</v>
      </c>
    </row>
    <row r="202" spans="1:6" x14ac:dyDescent="0.35">
      <c r="A202" s="1">
        <v>45688</v>
      </c>
      <c r="B202">
        <v>247.19</v>
      </c>
      <c r="C202">
        <v>247.19</v>
      </c>
      <c r="D202">
        <v>233.44</v>
      </c>
      <c r="E202">
        <v>236</v>
      </c>
      <c r="F202">
        <v>101075128</v>
      </c>
    </row>
    <row r="203" spans="1:6" x14ac:dyDescent="0.35">
      <c r="A203" s="1">
        <v>45691</v>
      </c>
      <c r="B203">
        <v>229.99</v>
      </c>
      <c r="C203">
        <v>231.83</v>
      </c>
      <c r="D203">
        <v>225.7</v>
      </c>
      <c r="E203">
        <v>228.01</v>
      </c>
      <c r="F203">
        <v>73063301</v>
      </c>
    </row>
    <row r="204" spans="1:6" x14ac:dyDescent="0.35">
      <c r="A204" s="1">
        <v>45692</v>
      </c>
      <c r="B204">
        <v>227.25</v>
      </c>
      <c r="C204">
        <v>233.13</v>
      </c>
      <c r="D204">
        <v>226.65</v>
      </c>
      <c r="E204">
        <v>232.8</v>
      </c>
      <c r="F204">
        <v>45067301</v>
      </c>
    </row>
    <row r="205" spans="1:6" x14ac:dyDescent="0.35">
      <c r="A205" s="1">
        <v>45693</v>
      </c>
      <c r="B205">
        <v>228.53</v>
      </c>
      <c r="C205">
        <v>232.67</v>
      </c>
      <c r="D205">
        <v>228.27</v>
      </c>
      <c r="E205">
        <v>232.47</v>
      </c>
      <c r="F205">
        <v>39664989</v>
      </c>
    </row>
    <row r="206" spans="1:6" x14ac:dyDescent="0.35">
      <c r="A206" s="1">
        <v>45694</v>
      </c>
      <c r="B206">
        <v>231.285</v>
      </c>
      <c r="C206">
        <v>233.8</v>
      </c>
      <c r="D206">
        <v>230.42500000000001</v>
      </c>
      <c r="E206">
        <v>233.22</v>
      </c>
      <c r="F206">
        <v>29925349</v>
      </c>
    </row>
    <row r="207" spans="1:6" x14ac:dyDescent="0.35">
      <c r="A207" s="1">
        <v>45695</v>
      </c>
      <c r="B207">
        <v>232.6</v>
      </c>
      <c r="C207">
        <v>234</v>
      </c>
      <c r="D207">
        <v>227.26</v>
      </c>
      <c r="E207">
        <v>227.63</v>
      </c>
      <c r="F207">
        <v>39707224</v>
      </c>
    </row>
    <row r="208" spans="1:6" x14ac:dyDescent="0.35">
      <c r="A208" s="1">
        <v>45698</v>
      </c>
      <c r="B208">
        <v>229.57</v>
      </c>
      <c r="C208">
        <v>230.58500000000001</v>
      </c>
      <c r="D208">
        <v>227.2</v>
      </c>
      <c r="E208">
        <v>227.65</v>
      </c>
      <c r="F208">
        <v>33115645</v>
      </c>
    </row>
    <row r="209" spans="1:6" x14ac:dyDescent="0.35">
      <c r="A209" s="1">
        <v>45699</v>
      </c>
      <c r="B209">
        <v>228.2</v>
      </c>
      <c r="C209">
        <v>235.23</v>
      </c>
      <c r="D209">
        <v>228.13</v>
      </c>
      <c r="E209">
        <v>232.62</v>
      </c>
      <c r="F209">
        <v>53718362</v>
      </c>
    </row>
    <row r="210" spans="1:6" x14ac:dyDescent="0.35">
      <c r="A210" s="1">
        <v>45700</v>
      </c>
      <c r="B210">
        <v>231.2</v>
      </c>
      <c r="C210">
        <v>236.96</v>
      </c>
      <c r="D210">
        <v>230.68</v>
      </c>
      <c r="E210">
        <v>236.87</v>
      </c>
      <c r="F210">
        <v>45243292</v>
      </c>
    </row>
    <row r="211" spans="1:6" x14ac:dyDescent="0.35">
      <c r="A211" s="1">
        <v>45701</v>
      </c>
      <c r="B211">
        <v>236.91</v>
      </c>
      <c r="C211">
        <v>242.3399</v>
      </c>
      <c r="D211">
        <v>235.57</v>
      </c>
      <c r="E211">
        <v>241.53</v>
      </c>
      <c r="F211">
        <v>53614054</v>
      </c>
    </row>
    <row r="212" spans="1:6" x14ac:dyDescent="0.35">
      <c r="A212" s="1">
        <v>45702</v>
      </c>
      <c r="B212">
        <v>241.25</v>
      </c>
      <c r="C212">
        <v>245.55</v>
      </c>
      <c r="D212">
        <v>240.99</v>
      </c>
      <c r="E212">
        <v>244.6</v>
      </c>
      <c r="F212">
        <v>40896227</v>
      </c>
    </row>
    <row r="213" spans="1:6" x14ac:dyDescent="0.35">
      <c r="A213" s="1">
        <v>45706</v>
      </c>
      <c r="B213">
        <v>244.15</v>
      </c>
      <c r="C213">
        <v>245.18</v>
      </c>
      <c r="D213">
        <v>241.84</v>
      </c>
      <c r="E213">
        <v>244.47</v>
      </c>
      <c r="F213">
        <v>48822491</v>
      </c>
    </row>
    <row r="214" spans="1:6" x14ac:dyDescent="0.35">
      <c r="A214" s="1">
        <v>45707</v>
      </c>
      <c r="B214">
        <v>244.66</v>
      </c>
      <c r="C214">
        <v>246.01</v>
      </c>
      <c r="D214">
        <v>243.16040000000001</v>
      </c>
      <c r="E214">
        <v>244.87</v>
      </c>
      <c r="F214">
        <v>32204215</v>
      </c>
    </row>
    <row r="215" spans="1:6" x14ac:dyDescent="0.35">
      <c r="A215" s="1">
        <v>45708</v>
      </c>
      <c r="B215">
        <v>244.94</v>
      </c>
      <c r="C215">
        <v>246.78</v>
      </c>
      <c r="D215">
        <v>244.29</v>
      </c>
      <c r="E215">
        <v>245.83</v>
      </c>
      <c r="F215">
        <v>32316907</v>
      </c>
    </row>
    <row r="216" spans="1:6" x14ac:dyDescent="0.35">
      <c r="A216" s="1">
        <v>45709</v>
      </c>
      <c r="B216">
        <v>245.95</v>
      </c>
      <c r="C216">
        <v>248.69</v>
      </c>
      <c r="D216">
        <v>245.22</v>
      </c>
      <c r="E216">
        <v>245.55</v>
      </c>
      <c r="F216">
        <v>53197431</v>
      </c>
    </row>
    <row r="217" spans="1:6" x14ac:dyDescent="0.35">
      <c r="A217" s="1">
        <v>45712</v>
      </c>
      <c r="B217">
        <v>244.92500000000001</v>
      </c>
      <c r="C217">
        <v>248.86</v>
      </c>
      <c r="D217">
        <v>244.42</v>
      </c>
      <c r="E217">
        <v>247.1</v>
      </c>
      <c r="F217">
        <v>51326396</v>
      </c>
    </row>
    <row r="218" spans="1:6" x14ac:dyDescent="0.35">
      <c r="A218" s="1">
        <v>45713</v>
      </c>
      <c r="B218">
        <v>248</v>
      </c>
      <c r="C218">
        <v>250</v>
      </c>
      <c r="D218">
        <v>244.91</v>
      </c>
      <c r="E218">
        <v>247.04</v>
      </c>
      <c r="F218">
        <v>48013272</v>
      </c>
    </row>
    <row r="219" spans="1:6" x14ac:dyDescent="0.35">
      <c r="A219" s="1">
        <v>45714</v>
      </c>
      <c r="B219">
        <v>244.33</v>
      </c>
      <c r="C219">
        <v>244.98</v>
      </c>
      <c r="D219">
        <v>239.13</v>
      </c>
      <c r="E219">
        <v>240.36</v>
      </c>
      <c r="F219">
        <v>44433564</v>
      </c>
    </row>
    <row r="220" spans="1:6" x14ac:dyDescent="0.35">
      <c r="A220" s="1">
        <v>45715</v>
      </c>
      <c r="B220">
        <v>239.41</v>
      </c>
      <c r="C220">
        <v>242.46</v>
      </c>
      <c r="D220">
        <v>237.06</v>
      </c>
      <c r="E220">
        <v>237.3</v>
      </c>
      <c r="F220">
        <v>41153639</v>
      </c>
    </row>
    <row r="221" spans="1:6" x14ac:dyDescent="0.35">
      <c r="A221" s="1">
        <v>45716</v>
      </c>
      <c r="B221">
        <v>236.95</v>
      </c>
      <c r="C221">
        <v>242.09</v>
      </c>
      <c r="D221">
        <v>230.2</v>
      </c>
      <c r="E221">
        <v>241.84</v>
      </c>
      <c r="F221">
        <v>56833360</v>
      </c>
    </row>
    <row r="222" spans="1:6" x14ac:dyDescent="0.35">
      <c r="A222" s="1">
        <v>45719</v>
      </c>
      <c r="B222">
        <v>241.79</v>
      </c>
      <c r="C222">
        <v>244.02719999999999</v>
      </c>
      <c r="D222">
        <v>236.11199999999999</v>
      </c>
      <c r="E222">
        <v>238.03</v>
      </c>
      <c r="F222">
        <v>47183985</v>
      </c>
    </row>
    <row r="223" spans="1:6" x14ac:dyDescent="0.35">
      <c r="A223" s="1">
        <v>45720</v>
      </c>
      <c r="B223">
        <v>237.70500000000001</v>
      </c>
      <c r="C223">
        <v>240.07</v>
      </c>
      <c r="D223">
        <v>234.68</v>
      </c>
      <c r="E223">
        <v>235.93</v>
      </c>
      <c r="F223">
        <v>53798062</v>
      </c>
    </row>
    <row r="224" spans="1:6" x14ac:dyDescent="0.35">
      <c r="A224" s="1">
        <v>45721</v>
      </c>
      <c r="B224">
        <v>235.42</v>
      </c>
      <c r="C224">
        <v>236.55</v>
      </c>
      <c r="D224">
        <v>229.23</v>
      </c>
      <c r="E224">
        <v>235.74</v>
      </c>
      <c r="F224">
        <v>47227643</v>
      </c>
    </row>
    <row r="225" spans="1:6" x14ac:dyDescent="0.35">
      <c r="A225" s="1">
        <v>45722</v>
      </c>
      <c r="B225">
        <v>234.435</v>
      </c>
      <c r="C225">
        <v>237.86</v>
      </c>
      <c r="D225">
        <v>233.15809999999999</v>
      </c>
      <c r="E225">
        <v>235.33</v>
      </c>
      <c r="F225">
        <v>45170419</v>
      </c>
    </row>
    <row r="226" spans="1:6" x14ac:dyDescent="0.35">
      <c r="A226" s="1">
        <v>45723</v>
      </c>
      <c r="B226">
        <v>235.10499999999999</v>
      </c>
      <c r="C226">
        <v>241.37</v>
      </c>
      <c r="D226">
        <v>234.76</v>
      </c>
      <c r="E226">
        <v>239.07</v>
      </c>
      <c r="F226">
        <v>46273565</v>
      </c>
    </row>
    <row r="227" spans="1:6" x14ac:dyDescent="0.35">
      <c r="A227" s="1">
        <v>45726</v>
      </c>
      <c r="B227">
        <v>235.54</v>
      </c>
      <c r="C227">
        <v>236.16</v>
      </c>
      <c r="D227">
        <v>224.22</v>
      </c>
      <c r="E227">
        <v>227.48</v>
      </c>
      <c r="F227">
        <v>71451281</v>
      </c>
    </row>
    <row r="228" spans="1:6" x14ac:dyDescent="0.35">
      <c r="A228" s="1">
        <v>45727</v>
      </c>
      <c r="B228">
        <v>223.80500000000001</v>
      </c>
      <c r="C228">
        <v>225.8399</v>
      </c>
      <c r="D228">
        <v>217.45</v>
      </c>
      <c r="E228">
        <v>220.84</v>
      </c>
      <c r="F228">
        <v>76137410</v>
      </c>
    </row>
    <row r="229" spans="1:6" x14ac:dyDescent="0.35">
      <c r="A229" s="1">
        <v>45728</v>
      </c>
      <c r="B229">
        <v>220.14</v>
      </c>
      <c r="C229">
        <v>221.75</v>
      </c>
      <c r="D229">
        <v>214.91</v>
      </c>
      <c r="E229">
        <v>216.98</v>
      </c>
      <c r="F229">
        <v>62547467</v>
      </c>
    </row>
    <row r="230" spans="1:6" x14ac:dyDescent="0.35">
      <c r="A230" s="1">
        <v>45729</v>
      </c>
      <c r="B230">
        <v>215.95</v>
      </c>
      <c r="C230">
        <v>216.83940000000001</v>
      </c>
      <c r="D230">
        <v>208.42</v>
      </c>
      <c r="E230">
        <v>209.68</v>
      </c>
      <c r="F230">
        <v>61368330</v>
      </c>
    </row>
    <row r="231" spans="1:6" x14ac:dyDescent="0.35">
      <c r="A231" s="1">
        <v>45730</v>
      </c>
      <c r="B231">
        <v>211.25</v>
      </c>
      <c r="C231">
        <v>213.95</v>
      </c>
      <c r="D231">
        <v>209.58</v>
      </c>
      <c r="E231">
        <v>213.49</v>
      </c>
      <c r="F231">
        <v>60107582</v>
      </c>
    </row>
    <row r="232" spans="1:6" x14ac:dyDescent="0.35">
      <c r="A232" s="1">
        <v>45733</v>
      </c>
      <c r="B232">
        <v>213.31</v>
      </c>
      <c r="C232">
        <v>215.22</v>
      </c>
      <c r="D232">
        <v>209.97</v>
      </c>
      <c r="E232">
        <v>214</v>
      </c>
      <c r="F232">
        <v>48073426</v>
      </c>
    </row>
    <row r="233" spans="1:6" x14ac:dyDescent="0.35">
      <c r="A233" s="1">
        <v>45734</v>
      </c>
      <c r="B233">
        <v>214.16</v>
      </c>
      <c r="C233">
        <v>215.15</v>
      </c>
      <c r="D233">
        <v>211.49</v>
      </c>
      <c r="E233">
        <v>212.69</v>
      </c>
      <c r="F233">
        <v>42432426</v>
      </c>
    </row>
    <row r="234" spans="1:6" x14ac:dyDescent="0.35">
      <c r="A234" s="1">
        <v>45735</v>
      </c>
      <c r="B234">
        <v>214.22</v>
      </c>
      <c r="C234">
        <v>218.76</v>
      </c>
      <c r="D234">
        <v>213.75</v>
      </c>
      <c r="E234">
        <v>215.24</v>
      </c>
      <c r="F234">
        <v>54385391</v>
      </c>
    </row>
    <row r="235" spans="1:6" x14ac:dyDescent="0.35">
      <c r="A235" s="1">
        <v>45736</v>
      </c>
      <c r="B235">
        <v>213.99</v>
      </c>
      <c r="C235">
        <v>217.48990000000001</v>
      </c>
      <c r="D235">
        <v>212.22</v>
      </c>
      <c r="E235">
        <v>214.1</v>
      </c>
      <c r="F235">
        <v>48862947</v>
      </c>
    </row>
    <row r="236" spans="1:6" x14ac:dyDescent="0.35">
      <c r="A236" s="1">
        <v>45737</v>
      </c>
      <c r="B236">
        <v>211.56</v>
      </c>
      <c r="C236">
        <v>218.84</v>
      </c>
      <c r="D236">
        <v>211.28</v>
      </c>
      <c r="E236">
        <v>218.27</v>
      </c>
      <c r="F236">
        <v>94127768</v>
      </c>
    </row>
    <row r="237" spans="1:6" x14ac:dyDescent="0.35">
      <c r="A237" s="1">
        <v>45740</v>
      </c>
      <c r="B237">
        <v>221</v>
      </c>
      <c r="C237">
        <v>221.48</v>
      </c>
      <c r="D237">
        <v>218.58</v>
      </c>
      <c r="E237">
        <v>220.73</v>
      </c>
      <c r="F237">
        <v>44299483</v>
      </c>
    </row>
    <row r="238" spans="1:6" x14ac:dyDescent="0.35">
      <c r="A238" s="1">
        <v>45741</v>
      </c>
      <c r="B238">
        <v>220.77</v>
      </c>
      <c r="C238">
        <v>224.1</v>
      </c>
      <c r="D238">
        <v>220.08</v>
      </c>
      <c r="E238">
        <v>223.75</v>
      </c>
      <c r="F238">
        <v>34493583</v>
      </c>
    </row>
    <row r="239" spans="1:6" x14ac:dyDescent="0.35">
      <c r="A239" s="1">
        <v>45742</v>
      </c>
      <c r="B239">
        <v>223.51</v>
      </c>
      <c r="C239">
        <v>225.02</v>
      </c>
      <c r="D239">
        <v>220.47</v>
      </c>
      <c r="E239">
        <v>221.53</v>
      </c>
      <c r="F239">
        <v>34532656</v>
      </c>
    </row>
    <row r="240" spans="1:6" x14ac:dyDescent="0.35">
      <c r="A240" s="1">
        <v>45743</v>
      </c>
      <c r="B240">
        <v>221.39</v>
      </c>
      <c r="C240">
        <v>224.99</v>
      </c>
      <c r="D240">
        <v>220.56010000000001</v>
      </c>
      <c r="E240">
        <v>223.85</v>
      </c>
      <c r="F240">
        <v>37094774</v>
      </c>
    </row>
    <row r="241" spans="1:9" x14ac:dyDescent="0.35">
      <c r="A241" s="1">
        <v>45744</v>
      </c>
      <c r="B241">
        <v>221.67</v>
      </c>
      <c r="C241">
        <v>223.81</v>
      </c>
      <c r="D241">
        <v>217.68</v>
      </c>
      <c r="E241">
        <v>217.9</v>
      </c>
      <c r="F241">
        <v>39818617</v>
      </c>
    </row>
    <row r="242" spans="1:9" x14ac:dyDescent="0.35">
      <c r="A242" s="1">
        <v>45747</v>
      </c>
      <c r="B242">
        <v>217.005</v>
      </c>
      <c r="C242">
        <v>225.62</v>
      </c>
      <c r="D242">
        <v>216.23</v>
      </c>
      <c r="E242">
        <v>222.13</v>
      </c>
      <c r="F242">
        <v>65299321</v>
      </c>
    </row>
    <row r="243" spans="1:9" x14ac:dyDescent="0.35">
      <c r="A243" s="1">
        <v>45748</v>
      </c>
      <c r="B243">
        <v>219.80500000000001</v>
      </c>
      <c r="C243">
        <v>223.68</v>
      </c>
      <c r="D243">
        <v>218.9</v>
      </c>
      <c r="E243">
        <v>223.19</v>
      </c>
      <c r="F243">
        <v>36412740</v>
      </c>
    </row>
    <row r="244" spans="1:9" x14ac:dyDescent="0.35">
      <c r="A244" s="1">
        <v>45749</v>
      </c>
      <c r="B244">
        <v>221.315</v>
      </c>
      <c r="C244">
        <v>225.19</v>
      </c>
      <c r="D244">
        <v>221.02</v>
      </c>
      <c r="E244">
        <v>223.89</v>
      </c>
      <c r="F244">
        <v>35905904</v>
      </c>
    </row>
    <row r="245" spans="1:9" x14ac:dyDescent="0.35">
      <c r="A245" s="1">
        <v>45750</v>
      </c>
      <c r="B245">
        <v>205.54</v>
      </c>
      <c r="C245">
        <v>207.49</v>
      </c>
      <c r="D245">
        <v>201.25</v>
      </c>
      <c r="E245">
        <v>203.19</v>
      </c>
      <c r="F245">
        <v>103419006</v>
      </c>
    </row>
    <row r="246" spans="1:9" x14ac:dyDescent="0.35">
      <c r="A246" s="1">
        <v>45751</v>
      </c>
      <c r="B246">
        <v>193.89</v>
      </c>
      <c r="C246">
        <v>199.88</v>
      </c>
      <c r="D246">
        <v>187.34</v>
      </c>
      <c r="E246">
        <v>188.38</v>
      </c>
      <c r="F246">
        <v>125910913</v>
      </c>
    </row>
    <row r="247" spans="1:9" x14ac:dyDescent="0.35">
      <c r="A247" s="1">
        <v>45754</v>
      </c>
      <c r="B247">
        <v>177.2</v>
      </c>
      <c r="C247">
        <v>194.15</v>
      </c>
      <c r="D247">
        <v>174.62</v>
      </c>
      <c r="E247">
        <v>181.46</v>
      </c>
      <c r="F247">
        <v>160466286</v>
      </c>
    </row>
    <row r="248" spans="1:9" x14ac:dyDescent="0.35">
      <c r="A248" s="1">
        <v>45755</v>
      </c>
      <c r="B248">
        <v>186.7</v>
      </c>
      <c r="C248">
        <v>190.33500000000001</v>
      </c>
      <c r="D248">
        <v>169.21010000000001</v>
      </c>
      <c r="E248">
        <v>172.42</v>
      </c>
      <c r="F248">
        <v>120859491</v>
      </c>
    </row>
    <row r="249" spans="1:9" x14ac:dyDescent="0.35">
      <c r="A249" s="1">
        <v>45756</v>
      </c>
      <c r="B249">
        <v>171.95</v>
      </c>
      <c r="C249">
        <v>200.61</v>
      </c>
      <c r="D249">
        <v>171.89</v>
      </c>
      <c r="E249">
        <v>198.85</v>
      </c>
      <c r="F249">
        <v>184395885</v>
      </c>
    </row>
    <row r="250" spans="1:9" x14ac:dyDescent="0.35">
      <c r="A250" s="1">
        <v>45757</v>
      </c>
      <c r="B250">
        <v>189.065</v>
      </c>
      <c r="C250">
        <v>194.7799</v>
      </c>
      <c r="D250">
        <v>183</v>
      </c>
      <c r="E250">
        <v>190.42</v>
      </c>
      <c r="F250">
        <v>121879981</v>
      </c>
    </row>
    <row r="251" spans="1:9" x14ac:dyDescent="0.35">
      <c r="A251" s="1">
        <v>45758</v>
      </c>
      <c r="B251">
        <v>186.1</v>
      </c>
      <c r="C251">
        <v>199.54</v>
      </c>
      <c r="D251">
        <v>186.06</v>
      </c>
      <c r="E251">
        <v>198.15</v>
      </c>
      <c r="F251">
        <v>87435915</v>
      </c>
    </row>
    <row r="252" spans="1:9" x14ac:dyDescent="0.35">
      <c r="H252" t="s">
        <v>376</v>
      </c>
      <c r="I252">
        <f>AVERAGE(E2:E251)</f>
        <v>220.40015999999991</v>
      </c>
    </row>
    <row r="253" spans="1:9" x14ac:dyDescent="0.35">
      <c r="H253" t="s">
        <v>375</v>
      </c>
      <c r="I253">
        <f>SUM(F2:F251)</f>
        <v>14207452338</v>
      </c>
    </row>
    <row r="254" spans="1:9" x14ac:dyDescent="0.35">
      <c r="H254" t="s">
        <v>377</v>
      </c>
      <c r="I254">
        <f>(E251-E2)/E2</f>
        <v>0.14743181423359783</v>
      </c>
    </row>
    <row r="255" spans="1:9" x14ac:dyDescent="0.35">
      <c r="H255" t="s">
        <v>378</v>
      </c>
      <c r="I255">
        <f>MAX(E2:E251)</f>
        <v>259.02</v>
      </c>
    </row>
    <row r="256" spans="1:9" x14ac:dyDescent="0.35">
      <c r="H256" t="s">
        <v>379</v>
      </c>
      <c r="I256">
        <f>MIN(E2:E251)</f>
        <v>165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1B09-9CAA-4750-9CFC-6FFE8AE9A55D}">
  <dimension ref="A1:F370"/>
  <sheetViews>
    <sheetView topLeftCell="A354" workbookViewId="0">
      <selection activeCell="E366" sqref="E366:F370"/>
    </sheetView>
  </sheetViews>
  <sheetFormatPr defaultRowHeight="14.5" x14ac:dyDescent="0.35"/>
  <cols>
    <col min="1" max="1" width="21.6328125" bestFit="1" customWidth="1"/>
    <col min="2" max="2" width="18.7265625" customWidth="1"/>
    <col min="3" max="3" width="12.90625" bestFit="1" customWidth="1"/>
    <col min="4" max="4" width="13.90625" bestFit="1" customWidth="1"/>
  </cols>
  <sheetData>
    <row r="1" spans="1:4" x14ac:dyDescent="0.35">
      <c r="A1" t="s">
        <v>369</v>
      </c>
      <c r="B1" t="s">
        <v>371</v>
      </c>
      <c r="C1" t="s">
        <v>370</v>
      </c>
      <c r="D1" t="s">
        <v>5</v>
      </c>
    </row>
    <row r="2" spans="1:4" x14ac:dyDescent="0.35">
      <c r="A2" t="s">
        <v>6</v>
      </c>
      <c r="B2">
        <v>65752.660047288809</v>
      </c>
      <c r="C2">
        <v>1293286386553</v>
      </c>
      <c r="D2">
        <v>40292911693</v>
      </c>
    </row>
    <row r="3" spans="1:4" x14ac:dyDescent="0.35">
      <c r="A3" t="s">
        <v>7</v>
      </c>
      <c r="B3">
        <v>63430.571457368402</v>
      </c>
      <c r="C3">
        <v>1247928896841</v>
      </c>
      <c r="D3">
        <v>42796604938</v>
      </c>
    </row>
    <row r="4" spans="1:4" x14ac:dyDescent="0.35">
      <c r="A4" t="s">
        <v>8</v>
      </c>
      <c r="B4">
        <v>63720.501587480736</v>
      </c>
      <c r="C4">
        <v>1253670904297</v>
      </c>
      <c r="D4">
        <v>42157169474</v>
      </c>
    </row>
    <row r="5" spans="1:4" x14ac:dyDescent="0.35">
      <c r="A5" t="s">
        <v>9</v>
      </c>
      <c r="B5">
        <v>61328.897988607248</v>
      </c>
      <c r="C5">
        <v>1207185042484</v>
      </c>
      <c r="D5">
        <v>41123362076</v>
      </c>
    </row>
    <row r="6" spans="1:4" x14ac:dyDescent="0.35">
      <c r="A6" t="s">
        <v>10</v>
      </c>
      <c r="B6">
        <v>63461.592695107174</v>
      </c>
      <c r="C6">
        <v>1249565911947</v>
      </c>
      <c r="D6">
        <v>35901618166</v>
      </c>
    </row>
    <row r="7" spans="1:4" x14ac:dyDescent="0.35">
      <c r="A7" t="s">
        <v>11</v>
      </c>
      <c r="B7">
        <v>63988.818471785664</v>
      </c>
      <c r="C7">
        <v>1263308149914</v>
      </c>
      <c r="D7">
        <v>52227787324</v>
      </c>
    </row>
    <row r="8" spans="1:4" x14ac:dyDescent="0.35">
      <c r="A8" t="s">
        <v>12</v>
      </c>
      <c r="B8">
        <v>64894.418691091792</v>
      </c>
      <c r="C8">
        <v>1277940837360</v>
      </c>
      <c r="D8">
        <v>16601830591</v>
      </c>
    </row>
    <row r="9" spans="1:4" x14ac:dyDescent="0.35">
      <c r="A9" t="s">
        <v>13</v>
      </c>
      <c r="B9">
        <v>64936.420756773899</v>
      </c>
      <c r="C9">
        <v>1279763566407</v>
      </c>
      <c r="D9">
        <v>19592118541</v>
      </c>
    </row>
    <row r="10" spans="1:4" x14ac:dyDescent="0.35">
      <c r="A10" t="s">
        <v>14</v>
      </c>
      <c r="B10">
        <v>66841.666852073613</v>
      </c>
      <c r="C10">
        <v>1317058642854</v>
      </c>
      <c r="D10">
        <v>27748586313</v>
      </c>
    </row>
    <row r="11" spans="1:4" x14ac:dyDescent="0.35">
      <c r="A11" t="s">
        <v>15</v>
      </c>
      <c r="B11">
        <v>66406.952443926712</v>
      </c>
      <c r="C11">
        <v>1306843409278</v>
      </c>
      <c r="D11">
        <v>23232230785</v>
      </c>
    </row>
    <row r="12" spans="1:4" x14ac:dyDescent="0.35">
      <c r="A12" t="s">
        <v>16</v>
      </c>
      <c r="B12">
        <v>64279.518128575241</v>
      </c>
      <c r="C12">
        <v>1265541377861</v>
      </c>
      <c r="D12">
        <v>30939903322</v>
      </c>
    </row>
    <row r="13" spans="1:4" x14ac:dyDescent="0.35">
      <c r="A13" t="s">
        <v>17</v>
      </c>
      <c r="B13">
        <v>64486.183359158975</v>
      </c>
      <c r="C13">
        <v>1269387456068</v>
      </c>
      <c r="D13">
        <v>24705345526</v>
      </c>
    </row>
    <row r="14" spans="1:4" x14ac:dyDescent="0.35">
      <c r="A14" t="s">
        <v>18</v>
      </c>
      <c r="B14">
        <v>63802.330049258766</v>
      </c>
      <c r="C14">
        <v>1255539337969</v>
      </c>
      <c r="D14">
        <v>23302057198</v>
      </c>
    </row>
    <row r="15" spans="1:4" x14ac:dyDescent="0.35">
      <c r="A15" t="s">
        <v>19</v>
      </c>
      <c r="B15">
        <v>63517.248743409626</v>
      </c>
      <c r="C15">
        <v>1249495302303</v>
      </c>
      <c r="D15">
        <v>19190483386</v>
      </c>
    </row>
    <row r="16" spans="1:4" x14ac:dyDescent="0.35">
      <c r="A16" t="s">
        <v>20</v>
      </c>
      <c r="B16">
        <v>63030.433616681854</v>
      </c>
      <c r="C16">
        <v>1240724751366</v>
      </c>
      <c r="D16">
        <v>16180294651</v>
      </c>
    </row>
    <row r="17" spans="1:4" x14ac:dyDescent="0.35">
      <c r="A17" t="s">
        <v>21</v>
      </c>
      <c r="B17">
        <v>63797.679635899578</v>
      </c>
      <c r="C17">
        <v>1257159131219</v>
      </c>
      <c r="D17">
        <v>27242983698</v>
      </c>
    </row>
    <row r="18" spans="1:4" x14ac:dyDescent="0.35">
      <c r="A18" t="s">
        <v>22</v>
      </c>
      <c r="B18">
        <v>60749.472092163873</v>
      </c>
      <c r="C18">
        <v>1197773959986</v>
      </c>
      <c r="D18">
        <v>39533113322</v>
      </c>
    </row>
    <row r="19" spans="1:4" x14ac:dyDescent="0.35">
      <c r="A19" t="s">
        <v>23</v>
      </c>
      <c r="B19">
        <v>58297.574075325494</v>
      </c>
      <c r="C19">
        <v>1151677489315</v>
      </c>
      <c r="D19">
        <v>51109380172</v>
      </c>
    </row>
    <row r="20" spans="1:4" x14ac:dyDescent="0.35">
      <c r="A20" t="s">
        <v>24</v>
      </c>
      <c r="B20">
        <v>59135.173360773297</v>
      </c>
      <c r="C20">
        <v>1164721402399</v>
      </c>
      <c r="D20">
        <v>28255509745</v>
      </c>
    </row>
    <row r="21" spans="1:4" x14ac:dyDescent="0.35">
      <c r="A21" t="s">
        <v>25</v>
      </c>
      <c r="B21">
        <v>62839.340735693761</v>
      </c>
      <c r="C21">
        <v>1239817041555</v>
      </c>
      <c r="D21">
        <v>33591665812</v>
      </c>
    </row>
    <row r="22" spans="1:4" x14ac:dyDescent="0.35">
      <c r="A22" t="s">
        <v>26</v>
      </c>
      <c r="B22">
        <v>63820.451902924986</v>
      </c>
      <c r="C22">
        <v>1257549583083</v>
      </c>
      <c r="D22">
        <v>20510614461</v>
      </c>
    </row>
    <row r="23" spans="1:4" x14ac:dyDescent="0.35">
      <c r="A23" t="s">
        <v>27</v>
      </c>
      <c r="B23">
        <v>64010.008652108918</v>
      </c>
      <c r="C23">
        <v>1259667234461</v>
      </c>
      <c r="D23">
        <v>18115695040</v>
      </c>
    </row>
    <row r="24" spans="1:4" x14ac:dyDescent="0.35">
      <c r="A24" t="s">
        <v>28</v>
      </c>
      <c r="B24">
        <v>63172.481295513411</v>
      </c>
      <c r="C24">
        <v>1244417948316</v>
      </c>
      <c r="D24">
        <v>17917770174</v>
      </c>
    </row>
    <row r="25" spans="1:4" x14ac:dyDescent="0.35">
      <c r="A25" t="s">
        <v>29</v>
      </c>
      <c r="B25">
        <v>62363.057191718624</v>
      </c>
      <c r="C25">
        <v>1229336706399</v>
      </c>
      <c r="D25">
        <v>19925137721</v>
      </c>
    </row>
    <row r="26" spans="1:4" x14ac:dyDescent="0.35">
      <c r="A26" t="s">
        <v>30</v>
      </c>
      <c r="B26">
        <v>61215.504008791933</v>
      </c>
      <c r="C26">
        <v>1203918522477</v>
      </c>
      <c r="D26">
        <v>20303831135</v>
      </c>
    </row>
    <row r="27" spans="1:4" x14ac:dyDescent="0.35">
      <c r="A27" t="s">
        <v>31</v>
      </c>
      <c r="B27">
        <v>63148.599943097026</v>
      </c>
      <c r="C27">
        <v>1240910691254</v>
      </c>
      <c r="D27">
        <v>25837724248</v>
      </c>
    </row>
    <row r="28" spans="1:4" x14ac:dyDescent="0.35">
      <c r="A28" t="s">
        <v>32</v>
      </c>
      <c r="B28">
        <v>60888.216749571569</v>
      </c>
      <c r="C28">
        <v>1199393711200</v>
      </c>
      <c r="D28">
        <v>23987518755</v>
      </c>
    </row>
    <row r="29" spans="1:4" x14ac:dyDescent="0.35">
      <c r="A29" t="s">
        <v>33</v>
      </c>
      <c r="B29">
        <v>60776.972079172134</v>
      </c>
      <c r="C29">
        <v>1197102943502</v>
      </c>
      <c r="D29">
        <v>12120618802</v>
      </c>
    </row>
    <row r="30" spans="1:4" x14ac:dyDescent="0.35">
      <c r="A30" t="s">
        <v>34</v>
      </c>
      <c r="B30">
        <v>61507.054004121346</v>
      </c>
      <c r="C30">
        <v>1211277523449</v>
      </c>
      <c r="D30">
        <v>13045696109</v>
      </c>
    </row>
    <row r="31" spans="1:4" x14ac:dyDescent="0.35">
      <c r="A31" t="s">
        <v>35</v>
      </c>
      <c r="B31">
        <v>62878.783300729294</v>
      </c>
      <c r="C31">
        <v>1238994152713</v>
      </c>
      <c r="D31">
        <v>27740460084</v>
      </c>
    </row>
    <row r="32" spans="1:4" x14ac:dyDescent="0.35">
      <c r="A32" t="s">
        <v>36</v>
      </c>
      <c r="B32">
        <v>61569.113005773397</v>
      </c>
      <c r="C32">
        <v>1212998352772</v>
      </c>
      <c r="D32">
        <v>21581895152</v>
      </c>
    </row>
    <row r="33" spans="1:4" x14ac:dyDescent="0.35">
      <c r="A33" t="s">
        <v>37</v>
      </c>
      <c r="B33">
        <v>66220.518314328263</v>
      </c>
      <c r="C33">
        <v>1307048849176</v>
      </c>
      <c r="D33">
        <v>38101793065</v>
      </c>
    </row>
    <row r="34" spans="1:4" x14ac:dyDescent="0.35">
      <c r="A34" t="s">
        <v>38</v>
      </c>
      <c r="B34">
        <v>65260.879803346186</v>
      </c>
      <c r="C34">
        <v>1286278919684</v>
      </c>
      <c r="D34">
        <v>29114585833</v>
      </c>
    </row>
    <row r="35" spans="1:4" x14ac:dyDescent="0.35">
      <c r="A35" t="s">
        <v>39</v>
      </c>
      <c r="B35">
        <v>67053.123265095637</v>
      </c>
      <c r="C35">
        <v>1319238394090</v>
      </c>
      <c r="D35">
        <v>25397793919</v>
      </c>
    </row>
    <row r="36" spans="1:4" x14ac:dyDescent="0.35">
      <c r="A36" t="s">
        <v>40</v>
      </c>
      <c r="B36">
        <v>66912.618614036968</v>
      </c>
      <c r="C36">
        <v>1319928522882</v>
      </c>
      <c r="D36">
        <v>13025487676</v>
      </c>
    </row>
    <row r="37" spans="1:4" x14ac:dyDescent="0.35">
      <c r="A37" t="s">
        <v>41</v>
      </c>
      <c r="B37">
        <v>66252.712595916135</v>
      </c>
      <c r="C37">
        <v>1304727108598</v>
      </c>
      <c r="D37">
        <v>9072734600</v>
      </c>
    </row>
    <row r="38" spans="1:4" x14ac:dyDescent="0.35">
      <c r="A38" t="s">
        <v>42</v>
      </c>
      <c r="B38">
        <v>71430.297002151448</v>
      </c>
      <c r="C38">
        <v>1406288649447</v>
      </c>
      <c r="D38">
        <v>35923476641</v>
      </c>
    </row>
    <row r="39" spans="1:4" x14ac:dyDescent="0.35">
      <c r="A39" t="s">
        <v>43</v>
      </c>
      <c r="B39">
        <v>70189.835817700194</v>
      </c>
      <c r="C39">
        <v>1382275470798</v>
      </c>
      <c r="D39">
        <v>41105056578</v>
      </c>
    </row>
    <row r="40" spans="1:4" x14ac:dyDescent="0.35">
      <c r="A40" t="s">
        <v>44</v>
      </c>
      <c r="B40">
        <v>69181.200856777621</v>
      </c>
      <c r="C40">
        <v>1362228629449</v>
      </c>
      <c r="D40">
        <v>31059440496</v>
      </c>
    </row>
    <row r="41" spans="1:4" x14ac:dyDescent="0.35">
      <c r="A41" t="s">
        <v>45</v>
      </c>
      <c r="B41">
        <v>67906.465342761061</v>
      </c>
      <c r="C41">
        <v>1336347300306</v>
      </c>
      <c r="D41">
        <v>39235702119</v>
      </c>
    </row>
    <row r="42" spans="1:4" x14ac:dyDescent="0.35">
      <c r="A42" t="s">
        <v>46</v>
      </c>
      <c r="B42">
        <v>68539.91646552991</v>
      </c>
      <c r="C42">
        <v>1350764328536</v>
      </c>
      <c r="D42">
        <v>28127411967</v>
      </c>
    </row>
    <row r="43" spans="1:4" x14ac:dyDescent="0.35">
      <c r="A43" t="s">
        <v>47</v>
      </c>
      <c r="B43">
        <v>69268.445589737719</v>
      </c>
      <c r="C43">
        <v>1363997851295</v>
      </c>
      <c r="D43">
        <v>15929396750</v>
      </c>
    </row>
    <row r="44" spans="1:4" x14ac:dyDescent="0.35">
      <c r="A44" t="s">
        <v>48</v>
      </c>
      <c r="B44">
        <v>68508.831108756989</v>
      </c>
      <c r="C44">
        <v>1349351520129</v>
      </c>
      <c r="D44">
        <v>11243743771</v>
      </c>
    </row>
    <row r="45" spans="1:4" x14ac:dyDescent="0.35">
      <c r="A45" t="s">
        <v>49</v>
      </c>
      <c r="B45">
        <v>69367.238717557251</v>
      </c>
      <c r="C45">
        <v>1366931305389</v>
      </c>
      <c r="D45">
        <v>18983806932</v>
      </c>
    </row>
    <row r="46" spans="1:4" x14ac:dyDescent="0.35">
      <c r="A46" t="s">
        <v>50</v>
      </c>
      <c r="B46">
        <v>68316.635880496309</v>
      </c>
      <c r="C46">
        <v>1347542673428</v>
      </c>
      <c r="D46">
        <v>31278122196</v>
      </c>
    </row>
    <row r="47" spans="1:4" x14ac:dyDescent="0.35">
      <c r="A47" t="s">
        <v>51</v>
      </c>
      <c r="B47">
        <v>67577.265589959628</v>
      </c>
      <c r="C47">
        <v>1331734029835</v>
      </c>
      <c r="D47">
        <v>24320692138</v>
      </c>
    </row>
    <row r="48" spans="1:4" x14ac:dyDescent="0.35">
      <c r="A48" t="s">
        <v>52</v>
      </c>
      <c r="B48">
        <v>68372.492884340929</v>
      </c>
      <c r="C48">
        <v>1346147846430</v>
      </c>
      <c r="D48">
        <v>25344376898</v>
      </c>
    </row>
    <row r="49" spans="1:4" x14ac:dyDescent="0.35">
      <c r="A49" t="s">
        <v>53</v>
      </c>
      <c r="B49">
        <v>67474.954836984092</v>
      </c>
      <c r="C49">
        <v>1331606411823</v>
      </c>
      <c r="D49">
        <v>19685305476</v>
      </c>
    </row>
    <row r="50" spans="1:4" x14ac:dyDescent="0.35">
      <c r="A50" t="s">
        <v>54</v>
      </c>
      <c r="B50">
        <v>67704.326418115234</v>
      </c>
      <c r="C50">
        <v>1333649555935</v>
      </c>
      <c r="D50">
        <v>10724053325</v>
      </c>
    </row>
    <row r="51" spans="1:4" x14ac:dyDescent="0.35">
      <c r="A51" t="s">
        <v>55</v>
      </c>
      <c r="B51">
        <v>67740.016902224757</v>
      </c>
      <c r="C51">
        <v>1335930570690</v>
      </c>
      <c r="D51">
        <v>16137350588</v>
      </c>
    </row>
    <row r="52" spans="1:4" x14ac:dyDescent="0.35">
      <c r="A52" t="s">
        <v>56</v>
      </c>
      <c r="B52">
        <v>68808.29368590549</v>
      </c>
      <c r="C52">
        <v>1355484820107</v>
      </c>
      <c r="D52">
        <v>29862293750</v>
      </c>
    </row>
    <row r="53" spans="1:4" x14ac:dyDescent="0.35">
      <c r="A53" t="s">
        <v>57</v>
      </c>
      <c r="B53">
        <v>70600.011166760887</v>
      </c>
      <c r="C53">
        <v>1390853496950</v>
      </c>
      <c r="D53">
        <v>31561053725</v>
      </c>
    </row>
    <row r="54" spans="1:4" x14ac:dyDescent="0.35">
      <c r="A54" t="s">
        <v>58</v>
      </c>
      <c r="B54">
        <v>71184.599430591988</v>
      </c>
      <c r="C54">
        <v>1400297735227</v>
      </c>
      <c r="D54">
        <v>32560403315</v>
      </c>
    </row>
    <row r="55" spans="1:4" x14ac:dyDescent="0.35">
      <c r="A55" t="s">
        <v>59</v>
      </c>
      <c r="B55">
        <v>70759.588193014322</v>
      </c>
      <c r="C55">
        <v>1394881646978</v>
      </c>
      <c r="D55">
        <v>23612879690</v>
      </c>
    </row>
    <row r="56" spans="1:4" x14ac:dyDescent="0.35">
      <c r="A56" t="s">
        <v>60</v>
      </c>
      <c r="B56">
        <v>69325.362388472218</v>
      </c>
      <c r="C56">
        <v>1366366925857</v>
      </c>
      <c r="D56">
        <v>18597495570</v>
      </c>
    </row>
    <row r="57" spans="1:4" x14ac:dyDescent="0.35">
      <c r="A57" t="s">
        <v>61</v>
      </c>
      <c r="B57">
        <v>69315.104123396595</v>
      </c>
      <c r="C57">
        <v>1366065699664</v>
      </c>
      <c r="D57">
        <v>10688301508</v>
      </c>
    </row>
    <row r="58" spans="1:4" x14ac:dyDescent="0.35">
      <c r="A58" t="s">
        <v>62</v>
      </c>
      <c r="B58">
        <v>69654.160737603583</v>
      </c>
      <c r="C58">
        <v>1372556186705</v>
      </c>
      <c r="D58">
        <v>10461044041</v>
      </c>
    </row>
    <row r="59" spans="1:4" x14ac:dyDescent="0.35">
      <c r="A59" t="s">
        <v>63</v>
      </c>
      <c r="B59">
        <v>69493.177609157385</v>
      </c>
      <c r="C59">
        <v>1369378888544</v>
      </c>
      <c r="D59">
        <v>19335866774</v>
      </c>
    </row>
    <row r="60" spans="1:4" x14ac:dyDescent="0.35">
      <c r="A60" t="s">
        <v>64</v>
      </c>
      <c r="B60">
        <v>67329.15232724321</v>
      </c>
      <c r="C60">
        <v>1327665028180</v>
      </c>
      <c r="D60">
        <v>38513044383</v>
      </c>
    </row>
    <row r="61" spans="1:4" x14ac:dyDescent="0.35">
      <c r="A61" t="s">
        <v>65</v>
      </c>
      <c r="B61">
        <v>68224.51967501991</v>
      </c>
      <c r="C61">
        <v>1345244310607</v>
      </c>
      <c r="D61">
        <v>36027809551</v>
      </c>
    </row>
    <row r="62" spans="1:4" x14ac:dyDescent="0.35">
      <c r="A62" t="s">
        <v>66</v>
      </c>
      <c r="B62">
        <v>66700.316965643782</v>
      </c>
      <c r="C62">
        <v>1317161415435</v>
      </c>
      <c r="D62">
        <v>29654777884</v>
      </c>
    </row>
    <row r="63" spans="1:4" x14ac:dyDescent="0.35">
      <c r="A63" t="s">
        <v>67</v>
      </c>
      <c r="B63">
        <v>66011.07873713733</v>
      </c>
      <c r="C63">
        <v>1301949410096</v>
      </c>
      <c r="D63">
        <v>27966992833</v>
      </c>
    </row>
    <row r="64" spans="1:4" x14ac:dyDescent="0.35">
      <c r="A64" t="s">
        <v>68</v>
      </c>
      <c r="B64">
        <v>66190.487489113497</v>
      </c>
      <c r="C64">
        <v>1304370314918</v>
      </c>
      <c r="D64">
        <v>13472726245</v>
      </c>
    </row>
    <row r="65" spans="1:4" x14ac:dyDescent="0.35">
      <c r="A65" t="s">
        <v>69</v>
      </c>
      <c r="B65">
        <v>66615.537821317659</v>
      </c>
      <c r="C65">
        <v>1313849391757</v>
      </c>
      <c r="D65">
        <v>12650130204</v>
      </c>
    </row>
    <row r="66" spans="1:4" x14ac:dyDescent="0.35">
      <c r="A66" t="s">
        <v>70</v>
      </c>
      <c r="B66">
        <v>66460.388979099516</v>
      </c>
      <c r="C66">
        <v>1309329377373</v>
      </c>
      <c r="D66">
        <v>29409728999</v>
      </c>
    </row>
    <row r="67" spans="1:4" x14ac:dyDescent="0.35">
      <c r="A67" t="s">
        <v>71</v>
      </c>
      <c r="B67">
        <v>65109.314812190474</v>
      </c>
      <c r="C67">
        <v>1282295865979</v>
      </c>
      <c r="D67">
        <v>41386972050</v>
      </c>
    </row>
    <row r="68" spans="1:4" x14ac:dyDescent="0.35">
      <c r="A68" t="s">
        <v>72</v>
      </c>
      <c r="B68">
        <v>64907.074607603186</v>
      </c>
      <c r="C68">
        <v>1278699763341</v>
      </c>
      <c r="D68">
        <v>21680698981</v>
      </c>
    </row>
    <row r="69" spans="1:4" x14ac:dyDescent="0.35">
      <c r="A69" t="s">
        <v>73</v>
      </c>
      <c r="B69">
        <v>64844.674417977629</v>
      </c>
      <c r="C69">
        <v>1279317116821</v>
      </c>
      <c r="D69">
        <v>26001551475</v>
      </c>
    </row>
    <row r="70" spans="1:4" x14ac:dyDescent="0.35">
      <c r="A70" t="s">
        <v>74</v>
      </c>
      <c r="B70">
        <v>64071.624284709695</v>
      </c>
      <c r="C70">
        <v>1263258746635</v>
      </c>
      <c r="D70">
        <v>24694310199</v>
      </c>
    </row>
    <row r="71" spans="1:4" x14ac:dyDescent="0.35">
      <c r="A71" t="s">
        <v>75</v>
      </c>
      <c r="B71">
        <v>64239.90348813148</v>
      </c>
      <c r="C71">
        <v>1266336092891</v>
      </c>
      <c r="D71">
        <v>6340606686</v>
      </c>
    </row>
    <row r="72" spans="1:4" x14ac:dyDescent="0.35">
      <c r="A72" t="s">
        <v>76</v>
      </c>
      <c r="B72">
        <v>63221.357384374773</v>
      </c>
      <c r="C72">
        <v>1248188877658</v>
      </c>
      <c r="D72">
        <v>10748270932</v>
      </c>
    </row>
    <row r="73" spans="1:4" x14ac:dyDescent="0.35">
      <c r="A73" t="s">
        <v>77</v>
      </c>
      <c r="B73">
        <v>60363.234975296262</v>
      </c>
      <c r="C73">
        <v>1188964670369</v>
      </c>
      <c r="D73">
        <v>42036553107</v>
      </c>
    </row>
    <row r="74" spans="1:4" x14ac:dyDescent="0.35">
      <c r="A74" t="s">
        <v>78</v>
      </c>
      <c r="B74">
        <v>61770.413870095355</v>
      </c>
      <c r="C74">
        <v>1217935012740</v>
      </c>
      <c r="D74">
        <v>21105562262</v>
      </c>
    </row>
    <row r="75" spans="1:4" x14ac:dyDescent="0.35">
      <c r="A75" t="s">
        <v>79</v>
      </c>
      <c r="B75">
        <v>60749.896194020141</v>
      </c>
      <c r="C75">
        <v>1198205485428</v>
      </c>
      <c r="D75">
        <v>22908540919</v>
      </c>
    </row>
    <row r="76" spans="1:4" x14ac:dyDescent="0.35">
      <c r="A76" t="s">
        <v>80</v>
      </c>
      <c r="B76">
        <v>61562.645325500358</v>
      </c>
      <c r="C76">
        <v>1213931985720</v>
      </c>
      <c r="D76">
        <v>18855138893</v>
      </c>
    </row>
    <row r="77" spans="1:4" x14ac:dyDescent="0.35">
      <c r="A77" t="s">
        <v>81</v>
      </c>
      <c r="B77">
        <v>60317.096979451162</v>
      </c>
      <c r="C77">
        <v>1189569860171</v>
      </c>
      <c r="D77">
        <v>24399416695</v>
      </c>
    </row>
    <row r="78" spans="1:4" x14ac:dyDescent="0.35">
      <c r="A78" t="s">
        <v>82</v>
      </c>
      <c r="B78">
        <v>60864.443161934279</v>
      </c>
      <c r="C78">
        <v>1199792912681</v>
      </c>
      <c r="D78">
        <v>11435110884</v>
      </c>
    </row>
    <row r="79" spans="1:4" x14ac:dyDescent="0.35">
      <c r="A79" t="s">
        <v>83</v>
      </c>
      <c r="B79">
        <v>62734.393839454737</v>
      </c>
      <c r="C79">
        <v>1236676710888</v>
      </c>
      <c r="D79">
        <v>17373592048</v>
      </c>
    </row>
    <row r="80" spans="1:4" x14ac:dyDescent="0.35">
      <c r="A80" t="s">
        <v>84</v>
      </c>
      <c r="B80">
        <v>62819.822269218494</v>
      </c>
      <c r="C80">
        <v>1238799172480</v>
      </c>
      <c r="D80">
        <v>25573074911</v>
      </c>
    </row>
    <row r="81" spans="1:4" x14ac:dyDescent="0.35">
      <c r="A81" t="s">
        <v>85</v>
      </c>
      <c r="B81">
        <v>62042.565037100598</v>
      </c>
      <c r="C81">
        <v>1222901857941</v>
      </c>
      <c r="D81">
        <v>18100530102</v>
      </c>
    </row>
    <row r="82" spans="1:4" x14ac:dyDescent="0.35">
      <c r="A82" t="s">
        <v>86</v>
      </c>
      <c r="B82">
        <v>60244.680764330922</v>
      </c>
      <c r="C82">
        <v>1186937170315</v>
      </c>
      <c r="D82">
        <v>30348692427</v>
      </c>
    </row>
    <row r="83" spans="1:4" x14ac:dyDescent="0.35">
      <c r="A83" t="s">
        <v>87</v>
      </c>
      <c r="B83">
        <v>57189.174124086363</v>
      </c>
      <c r="C83">
        <v>1130121668991</v>
      </c>
      <c r="D83">
        <v>43112005395</v>
      </c>
    </row>
    <row r="84" spans="1:4" x14ac:dyDescent="0.35">
      <c r="A84" t="s">
        <v>88</v>
      </c>
      <c r="B84">
        <v>56739.862851072037</v>
      </c>
      <c r="C84">
        <v>1118490666778</v>
      </c>
      <c r="D84">
        <v>60081357583</v>
      </c>
    </row>
    <row r="85" spans="1:4" x14ac:dyDescent="0.35">
      <c r="A85" t="s">
        <v>89</v>
      </c>
      <c r="B85">
        <v>58230.4841542266</v>
      </c>
      <c r="C85">
        <v>1147176330416</v>
      </c>
      <c r="D85">
        <v>21293913671</v>
      </c>
    </row>
    <row r="86" spans="1:4" x14ac:dyDescent="0.35">
      <c r="A86" t="s">
        <v>90</v>
      </c>
      <c r="B86">
        <v>55880.375377670804</v>
      </c>
      <c r="C86">
        <v>1100452083928</v>
      </c>
      <c r="D86">
        <v>20211914621</v>
      </c>
    </row>
    <row r="87" spans="1:4" x14ac:dyDescent="0.35">
      <c r="A87" t="s">
        <v>91</v>
      </c>
      <c r="B87">
        <v>56665.140733520275</v>
      </c>
      <c r="C87">
        <v>1117615464652</v>
      </c>
      <c r="D87">
        <v>41614266908</v>
      </c>
    </row>
    <row r="88" spans="1:4" x14ac:dyDescent="0.35">
      <c r="A88" t="s">
        <v>92</v>
      </c>
      <c r="B88">
        <v>57988.303512084007</v>
      </c>
      <c r="C88">
        <v>1144794688187</v>
      </c>
      <c r="D88">
        <v>28413854577</v>
      </c>
    </row>
    <row r="89" spans="1:4" x14ac:dyDescent="0.35">
      <c r="A89" t="s">
        <v>93</v>
      </c>
      <c r="B89">
        <v>57704.202284462874</v>
      </c>
      <c r="C89">
        <v>1139350681823</v>
      </c>
      <c r="D89">
        <v>25987656347</v>
      </c>
    </row>
    <row r="90" spans="1:4" x14ac:dyDescent="0.35">
      <c r="A90" t="s">
        <v>94</v>
      </c>
      <c r="B90">
        <v>57388.192479166675</v>
      </c>
      <c r="C90">
        <v>1130276546536</v>
      </c>
      <c r="D90">
        <v>29196653599</v>
      </c>
    </row>
    <row r="91" spans="1:4" x14ac:dyDescent="0.35">
      <c r="A91" t="s">
        <v>95</v>
      </c>
      <c r="B91">
        <v>57899.288957495919</v>
      </c>
      <c r="C91">
        <v>1141567375406</v>
      </c>
      <c r="D91">
        <v>25504482306</v>
      </c>
    </row>
    <row r="92" spans="1:4" x14ac:dyDescent="0.35">
      <c r="A92" t="s">
        <v>96</v>
      </c>
      <c r="B92">
        <v>59152.719138872861</v>
      </c>
      <c r="C92">
        <v>1168371787726</v>
      </c>
      <c r="D92">
        <v>16765547593</v>
      </c>
    </row>
    <row r="93" spans="1:4" x14ac:dyDescent="0.35">
      <c r="A93" t="s">
        <v>97</v>
      </c>
      <c r="B93">
        <v>60942.32773996293</v>
      </c>
      <c r="C93">
        <v>1204059167829</v>
      </c>
      <c r="D93">
        <v>21295520564</v>
      </c>
    </row>
    <row r="94" spans="1:4" x14ac:dyDescent="0.35">
      <c r="A94" t="s">
        <v>98</v>
      </c>
      <c r="B94">
        <v>64835.489733215712</v>
      </c>
      <c r="C94">
        <v>1277806993831</v>
      </c>
      <c r="D94">
        <v>37810068493</v>
      </c>
    </row>
    <row r="95" spans="1:4" x14ac:dyDescent="0.35">
      <c r="A95" t="s">
        <v>99</v>
      </c>
      <c r="B95">
        <v>65162.236252343537</v>
      </c>
      <c r="C95">
        <v>1284899538175</v>
      </c>
      <c r="D95">
        <v>40914441633</v>
      </c>
    </row>
    <row r="96" spans="1:4" x14ac:dyDescent="0.35">
      <c r="A96" t="s">
        <v>100</v>
      </c>
      <c r="B96">
        <v>64136.313843606869</v>
      </c>
      <c r="C96">
        <v>1266016458007</v>
      </c>
      <c r="D96">
        <v>33459451714</v>
      </c>
    </row>
    <row r="97" spans="1:4" x14ac:dyDescent="0.35">
      <c r="A97" t="s">
        <v>101</v>
      </c>
      <c r="B97">
        <v>63959.569008093793</v>
      </c>
      <c r="C97">
        <v>1261456293182</v>
      </c>
      <c r="D97">
        <v>25976148879</v>
      </c>
    </row>
    <row r="98" spans="1:4" x14ac:dyDescent="0.35">
      <c r="A98" t="s">
        <v>102</v>
      </c>
      <c r="B98">
        <v>66689.548807349565</v>
      </c>
      <c r="C98">
        <v>1316147398344</v>
      </c>
      <c r="D98">
        <v>36994610752</v>
      </c>
    </row>
    <row r="99" spans="1:4" x14ac:dyDescent="0.35">
      <c r="A99" t="s">
        <v>103</v>
      </c>
      <c r="B99">
        <v>67206.064706148944</v>
      </c>
      <c r="C99">
        <v>1325658979468</v>
      </c>
      <c r="D99">
        <v>17353396168</v>
      </c>
    </row>
    <row r="100" spans="1:4" x14ac:dyDescent="0.35">
      <c r="A100" t="s">
        <v>104</v>
      </c>
      <c r="B100">
        <v>68088.139963245325</v>
      </c>
      <c r="C100">
        <v>1343346742483</v>
      </c>
      <c r="D100">
        <v>27078771828</v>
      </c>
    </row>
    <row r="101" spans="1:4" x14ac:dyDescent="0.35">
      <c r="A101" t="s">
        <v>105</v>
      </c>
      <c r="B101">
        <v>67607.713399188739</v>
      </c>
      <c r="C101">
        <v>1333201881092</v>
      </c>
      <c r="D101">
        <v>43157593652</v>
      </c>
    </row>
    <row r="102" spans="1:4" x14ac:dyDescent="0.35">
      <c r="A102" t="s">
        <v>106</v>
      </c>
      <c r="B102">
        <v>65942.417465228369</v>
      </c>
      <c r="C102">
        <v>1300963591116</v>
      </c>
      <c r="D102">
        <v>36100536095</v>
      </c>
    </row>
    <row r="103" spans="1:4" x14ac:dyDescent="0.35">
      <c r="A103" t="s">
        <v>107</v>
      </c>
      <c r="B103">
        <v>65403.535130225289</v>
      </c>
      <c r="C103">
        <v>1290447066028</v>
      </c>
      <c r="D103">
        <v>28680123270</v>
      </c>
    </row>
    <row r="104" spans="1:4" x14ac:dyDescent="0.35">
      <c r="A104" t="s">
        <v>108</v>
      </c>
      <c r="B104">
        <v>65749.963619653325</v>
      </c>
      <c r="C104">
        <v>1297125144853</v>
      </c>
      <c r="D104">
        <v>35836896136</v>
      </c>
    </row>
    <row r="105" spans="1:4" x14ac:dyDescent="0.35">
      <c r="A105" t="s">
        <v>109</v>
      </c>
      <c r="B105">
        <v>67920.296485702507</v>
      </c>
      <c r="C105">
        <v>1339927966899</v>
      </c>
      <c r="D105">
        <v>30821370069</v>
      </c>
    </row>
    <row r="106" spans="1:4" x14ac:dyDescent="0.35">
      <c r="A106" t="s">
        <v>110</v>
      </c>
      <c r="B106">
        <v>68055.408389687378</v>
      </c>
      <c r="C106">
        <v>1342889431799</v>
      </c>
      <c r="D106">
        <v>30976752617</v>
      </c>
    </row>
    <row r="107" spans="1:4" x14ac:dyDescent="0.35">
      <c r="A107" t="s">
        <v>111</v>
      </c>
      <c r="B107">
        <v>68242.247444049295</v>
      </c>
      <c r="C107">
        <v>1346263382370</v>
      </c>
      <c r="D107">
        <v>17175244020</v>
      </c>
    </row>
    <row r="108" spans="1:4" x14ac:dyDescent="0.35">
      <c r="A108" t="s">
        <v>112</v>
      </c>
      <c r="B108">
        <v>66770.320918482656</v>
      </c>
      <c r="C108">
        <v>1317581413497</v>
      </c>
      <c r="D108">
        <v>42529043667</v>
      </c>
    </row>
    <row r="109" spans="1:4" x14ac:dyDescent="0.35">
      <c r="A109" t="s">
        <v>113</v>
      </c>
      <c r="B109">
        <v>66219.051024861023</v>
      </c>
      <c r="C109">
        <v>1306758338818</v>
      </c>
      <c r="D109">
        <v>28892376511</v>
      </c>
    </row>
    <row r="110" spans="1:4" x14ac:dyDescent="0.35">
      <c r="A110" t="s">
        <v>114</v>
      </c>
      <c r="B110">
        <v>64679.778647032515</v>
      </c>
      <c r="C110">
        <v>1275401473742</v>
      </c>
      <c r="D110">
        <v>31403681581</v>
      </c>
    </row>
    <row r="111" spans="1:4" x14ac:dyDescent="0.35">
      <c r="A111" t="s">
        <v>115</v>
      </c>
      <c r="B111">
        <v>65357.529607674347</v>
      </c>
      <c r="C111">
        <v>1289157073528</v>
      </c>
      <c r="D111">
        <v>38911302448</v>
      </c>
    </row>
    <row r="112" spans="1:4" x14ac:dyDescent="0.35">
      <c r="A112" t="s">
        <v>116</v>
      </c>
      <c r="B112">
        <v>61407.29547397454</v>
      </c>
      <c r="C112">
        <v>1211854070245</v>
      </c>
      <c r="D112">
        <v>39004321616</v>
      </c>
    </row>
    <row r="113" spans="1:4" x14ac:dyDescent="0.35">
      <c r="A113" t="s">
        <v>117</v>
      </c>
      <c r="B113">
        <v>60738.744925057399</v>
      </c>
      <c r="C113">
        <v>1197962170719</v>
      </c>
      <c r="D113">
        <v>32885545024</v>
      </c>
    </row>
    <row r="114" spans="1:4" x14ac:dyDescent="0.35">
      <c r="A114" t="s">
        <v>118</v>
      </c>
      <c r="B114">
        <v>58006.206586686734</v>
      </c>
      <c r="C114">
        <v>1147854905922</v>
      </c>
      <c r="D114">
        <v>33664501541</v>
      </c>
    </row>
    <row r="115" spans="1:4" x14ac:dyDescent="0.35">
      <c r="A115" t="s">
        <v>119</v>
      </c>
      <c r="B115">
        <v>53956.261841597443</v>
      </c>
      <c r="C115">
        <v>1064889039014</v>
      </c>
      <c r="D115">
        <v>120245972389</v>
      </c>
    </row>
    <row r="116" spans="1:4" x14ac:dyDescent="0.35">
      <c r="A116" t="s">
        <v>120</v>
      </c>
      <c r="B116">
        <v>55959.841073993572</v>
      </c>
      <c r="C116">
        <v>1104019419317</v>
      </c>
      <c r="D116">
        <v>52620100833</v>
      </c>
    </row>
    <row r="117" spans="1:4" x14ac:dyDescent="0.35">
      <c r="A117" t="s">
        <v>121</v>
      </c>
      <c r="B117">
        <v>55099.951811467348</v>
      </c>
      <c r="C117">
        <v>1088566703585</v>
      </c>
      <c r="D117">
        <v>41605918903</v>
      </c>
    </row>
    <row r="118" spans="1:4" x14ac:dyDescent="0.35">
      <c r="A118" t="s">
        <v>122</v>
      </c>
      <c r="B118">
        <v>61859.031599041613</v>
      </c>
      <c r="C118">
        <v>1218342891279</v>
      </c>
      <c r="D118">
        <v>49201548320</v>
      </c>
    </row>
    <row r="119" spans="1:4" x14ac:dyDescent="0.35">
      <c r="A119" t="s">
        <v>123</v>
      </c>
      <c r="B119">
        <v>60912.588533350805</v>
      </c>
      <c r="C119">
        <v>1198300504959</v>
      </c>
      <c r="D119">
        <v>33804208928</v>
      </c>
    </row>
    <row r="120" spans="1:4" x14ac:dyDescent="0.35">
      <c r="A120" t="s">
        <v>124</v>
      </c>
      <c r="B120">
        <v>60887.708616415039</v>
      </c>
      <c r="C120">
        <v>1201818989571</v>
      </c>
      <c r="D120">
        <v>13418919090</v>
      </c>
    </row>
    <row r="121" spans="1:4" x14ac:dyDescent="0.35">
      <c r="A121" t="s">
        <v>125</v>
      </c>
      <c r="B121">
        <v>58804.234499926082</v>
      </c>
      <c r="C121">
        <v>1159146815398</v>
      </c>
      <c r="D121">
        <v>21715994493</v>
      </c>
    </row>
    <row r="122" spans="1:4" x14ac:dyDescent="0.35">
      <c r="A122" t="s">
        <v>126</v>
      </c>
      <c r="B122">
        <v>59350.074332706958</v>
      </c>
      <c r="C122">
        <v>1171441797234</v>
      </c>
      <c r="D122">
        <v>39403296386</v>
      </c>
    </row>
    <row r="123" spans="1:4" x14ac:dyDescent="0.35">
      <c r="A123" t="s">
        <v>127</v>
      </c>
      <c r="B123">
        <v>60601.223177897271</v>
      </c>
      <c r="C123">
        <v>1195798013191</v>
      </c>
      <c r="D123">
        <v>31955576195</v>
      </c>
    </row>
    <row r="124" spans="1:4" x14ac:dyDescent="0.35">
      <c r="A124" t="s">
        <v>128</v>
      </c>
      <c r="B124">
        <v>58739.193822310153</v>
      </c>
      <c r="C124">
        <v>1159479277228</v>
      </c>
      <c r="D124">
        <v>28079911398</v>
      </c>
    </row>
    <row r="125" spans="1:4" x14ac:dyDescent="0.35">
      <c r="A125" t="s">
        <v>129</v>
      </c>
      <c r="B125">
        <v>57624.116928521908</v>
      </c>
      <c r="C125">
        <v>1137141836826</v>
      </c>
      <c r="D125">
        <v>33490251842</v>
      </c>
    </row>
    <row r="126" spans="1:4" x14ac:dyDescent="0.35">
      <c r="A126" t="s">
        <v>130</v>
      </c>
      <c r="B126">
        <v>58881.925791512171</v>
      </c>
      <c r="C126">
        <v>1162716063850</v>
      </c>
      <c r="D126">
        <v>30368238897</v>
      </c>
    </row>
    <row r="127" spans="1:4" x14ac:dyDescent="0.35">
      <c r="A127" t="s">
        <v>131</v>
      </c>
      <c r="B127">
        <v>59430.791634458648</v>
      </c>
      <c r="C127">
        <v>1173270497431</v>
      </c>
      <c r="D127">
        <v>12467437134</v>
      </c>
    </row>
    <row r="128" spans="1:4" x14ac:dyDescent="0.35">
      <c r="A128" t="s">
        <v>132</v>
      </c>
      <c r="B128">
        <v>58438.293742685404</v>
      </c>
      <c r="C128">
        <v>1156217205294</v>
      </c>
      <c r="D128">
        <v>17656027564</v>
      </c>
    </row>
    <row r="129" spans="1:4" x14ac:dyDescent="0.35">
      <c r="A129" t="s">
        <v>133</v>
      </c>
      <c r="B129">
        <v>59574.945812940874</v>
      </c>
      <c r="C129">
        <v>1176063402362</v>
      </c>
      <c r="D129">
        <v>24031330179</v>
      </c>
    </row>
    <row r="130" spans="1:4" x14ac:dyDescent="0.35">
      <c r="A130" t="s">
        <v>134</v>
      </c>
      <c r="B130">
        <v>59060.12610074137</v>
      </c>
      <c r="C130">
        <v>1166088863323</v>
      </c>
      <c r="D130">
        <v>31470716091</v>
      </c>
    </row>
    <row r="131" spans="1:4" x14ac:dyDescent="0.35">
      <c r="A131" t="s">
        <v>135</v>
      </c>
      <c r="B131">
        <v>61144.687628666128</v>
      </c>
      <c r="C131">
        <v>1207099049403</v>
      </c>
      <c r="D131">
        <v>32960965011</v>
      </c>
    </row>
    <row r="132" spans="1:4" x14ac:dyDescent="0.35">
      <c r="A132" t="s">
        <v>136</v>
      </c>
      <c r="B132">
        <v>60387.540623213623</v>
      </c>
      <c r="C132">
        <v>1192308382714</v>
      </c>
      <c r="D132">
        <v>28170302506</v>
      </c>
    </row>
    <row r="133" spans="1:4" x14ac:dyDescent="0.35">
      <c r="A133" t="s">
        <v>137</v>
      </c>
      <c r="B133">
        <v>64049.685615555762</v>
      </c>
      <c r="C133">
        <v>1261916434075</v>
      </c>
      <c r="D133">
        <v>45038665759</v>
      </c>
    </row>
    <row r="134" spans="1:4" x14ac:dyDescent="0.35">
      <c r="A134" t="s">
        <v>138</v>
      </c>
      <c r="B134">
        <v>64157.160613478198</v>
      </c>
      <c r="C134">
        <v>1264961887999</v>
      </c>
      <c r="D134">
        <v>22029153446</v>
      </c>
    </row>
    <row r="135" spans="1:4" x14ac:dyDescent="0.35">
      <c r="A135" t="s">
        <v>139</v>
      </c>
      <c r="B135">
        <v>64265.816312728617</v>
      </c>
      <c r="C135">
        <v>1269291077270</v>
      </c>
      <c r="D135">
        <v>17875230147</v>
      </c>
    </row>
    <row r="136" spans="1:4" x14ac:dyDescent="0.35">
      <c r="A136" t="s">
        <v>140</v>
      </c>
      <c r="B136">
        <v>62922.586346762648</v>
      </c>
      <c r="C136">
        <v>1242487823611</v>
      </c>
      <c r="D136">
        <v>17894692681</v>
      </c>
    </row>
    <row r="137" spans="1:4" x14ac:dyDescent="0.35">
      <c r="A137" t="s">
        <v>141</v>
      </c>
      <c r="B137">
        <v>59526.560879590994</v>
      </c>
      <c r="C137">
        <v>1176762244308</v>
      </c>
      <c r="D137">
        <v>38131727428</v>
      </c>
    </row>
    <row r="138" spans="1:4" x14ac:dyDescent="0.35">
      <c r="A138" t="s">
        <v>142</v>
      </c>
      <c r="B138">
        <v>59015.296338879438</v>
      </c>
      <c r="C138">
        <v>1166032395736</v>
      </c>
      <c r="D138">
        <v>42018989572</v>
      </c>
    </row>
    <row r="139" spans="1:4" x14ac:dyDescent="0.35">
      <c r="A139" t="s">
        <v>143</v>
      </c>
      <c r="B139">
        <v>59351.579490972799</v>
      </c>
      <c r="C139">
        <v>1171762256044</v>
      </c>
      <c r="D139">
        <v>32563333957</v>
      </c>
    </row>
    <row r="140" spans="1:4" x14ac:dyDescent="0.35">
      <c r="A140" t="s">
        <v>144</v>
      </c>
      <c r="B140">
        <v>59156.246036463555</v>
      </c>
      <c r="C140">
        <v>1168247205701</v>
      </c>
      <c r="D140">
        <v>44038496615</v>
      </c>
    </row>
    <row r="141" spans="1:4" x14ac:dyDescent="0.35">
      <c r="A141" t="s">
        <v>145</v>
      </c>
      <c r="B141">
        <v>58960.236586645871</v>
      </c>
      <c r="C141">
        <v>1164278309271</v>
      </c>
      <c r="D141">
        <v>11399086336</v>
      </c>
    </row>
    <row r="142" spans="1:4" x14ac:dyDescent="0.35">
      <c r="A142" t="s">
        <v>146</v>
      </c>
      <c r="B142">
        <v>57357.71617282246</v>
      </c>
      <c r="C142">
        <v>1133133027661</v>
      </c>
      <c r="D142">
        <v>25465621878</v>
      </c>
    </row>
    <row r="143" spans="1:4" x14ac:dyDescent="0.35">
      <c r="A143" t="s">
        <v>147</v>
      </c>
      <c r="B143">
        <v>59108.732358636888</v>
      </c>
      <c r="C143">
        <v>1168410293916</v>
      </c>
      <c r="D143">
        <v>28012782291</v>
      </c>
    </row>
    <row r="144" spans="1:4" x14ac:dyDescent="0.35">
      <c r="A144" t="s">
        <v>148</v>
      </c>
      <c r="B144">
        <v>57504.538586220435</v>
      </c>
      <c r="C144">
        <v>1137361604371</v>
      </c>
      <c r="D144">
        <v>26829983370</v>
      </c>
    </row>
    <row r="145" spans="1:4" x14ac:dyDescent="0.35">
      <c r="A145" t="s">
        <v>149</v>
      </c>
      <c r="B145">
        <v>57987.84601410068</v>
      </c>
      <c r="C145">
        <v>1144983177152</v>
      </c>
      <c r="D145">
        <v>37550380697</v>
      </c>
    </row>
    <row r="146" spans="1:4" x14ac:dyDescent="0.35">
      <c r="A146" t="s">
        <v>150</v>
      </c>
      <c r="B146">
        <v>56132.404732088595</v>
      </c>
      <c r="C146">
        <v>1109212553022</v>
      </c>
      <c r="D146">
        <v>30005773446</v>
      </c>
    </row>
    <row r="147" spans="1:4" x14ac:dyDescent="0.35">
      <c r="A147" t="s">
        <v>151</v>
      </c>
      <c r="B147">
        <v>53923.356110719047</v>
      </c>
      <c r="C147">
        <v>1065462041081</v>
      </c>
      <c r="D147">
        <v>50260816557</v>
      </c>
    </row>
    <row r="148" spans="1:4" x14ac:dyDescent="0.35">
      <c r="A148" t="s">
        <v>152</v>
      </c>
      <c r="B148">
        <v>54150.938358907202</v>
      </c>
      <c r="C148">
        <v>1068954727890</v>
      </c>
      <c r="D148">
        <v>17048448412</v>
      </c>
    </row>
    <row r="149" spans="1:4" x14ac:dyDescent="0.35">
      <c r="A149" t="s">
        <v>153</v>
      </c>
      <c r="B149">
        <v>54792.40755768575</v>
      </c>
      <c r="C149">
        <v>1085390277574</v>
      </c>
      <c r="D149">
        <v>18644823662</v>
      </c>
    </row>
    <row r="150" spans="1:4" x14ac:dyDescent="0.35">
      <c r="A150" t="s">
        <v>154</v>
      </c>
      <c r="B150">
        <v>57049.118751143265</v>
      </c>
      <c r="C150">
        <v>1126840069632</v>
      </c>
      <c r="D150">
        <v>35655419448</v>
      </c>
    </row>
    <row r="151" spans="1:4" x14ac:dyDescent="0.35">
      <c r="A151" t="s">
        <v>155</v>
      </c>
      <c r="B151">
        <v>57624.161783361436</v>
      </c>
      <c r="C151">
        <v>1137928777839</v>
      </c>
      <c r="D151">
        <v>29676093302</v>
      </c>
    </row>
    <row r="152" spans="1:4" x14ac:dyDescent="0.35">
      <c r="A152" t="s">
        <v>156</v>
      </c>
      <c r="B152">
        <v>57381.764445000474</v>
      </c>
      <c r="C152">
        <v>1134292554479</v>
      </c>
      <c r="D152">
        <v>37765652735</v>
      </c>
    </row>
    <row r="153" spans="1:4" x14ac:dyDescent="0.35">
      <c r="A153" t="s">
        <v>157</v>
      </c>
      <c r="B153">
        <v>58106.951229815284</v>
      </c>
      <c r="C153">
        <v>1148469900814</v>
      </c>
      <c r="D153">
        <v>34177859933</v>
      </c>
    </row>
    <row r="154" spans="1:4" x14ac:dyDescent="0.35">
      <c r="A154" t="s">
        <v>158</v>
      </c>
      <c r="B154">
        <v>60620.627472957538</v>
      </c>
      <c r="C154">
        <v>1197832322916</v>
      </c>
      <c r="D154">
        <v>31919740724</v>
      </c>
    </row>
    <row r="155" spans="1:4" x14ac:dyDescent="0.35">
      <c r="A155" t="s">
        <v>159</v>
      </c>
      <c r="B155">
        <v>60003.299400830423</v>
      </c>
      <c r="C155">
        <v>1185255944125</v>
      </c>
      <c r="D155">
        <v>15800120841</v>
      </c>
    </row>
    <row r="156" spans="1:4" x14ac:dyDescent="0.35">
      <c r="A156" t="s">
        <v>160</v>
      </c>
      <c r="B156">
        <v>59214.802268018058</v>
      </c>
      <c r="C156">
        <v>1169677517083</v>
      </c>
      <c r="D156">
        <v>17289597543</v>
      </c>
    </row>
    <row r="157" spans="1:4" x14ac:dyDescent="0.35">
      <c r="A157" t="s">
        <v>161</v>
      </c>
      <c r="B157">
        <v>58211.123231286256</v>
      </c>
      <c r="C157">
        <v>1150499194410</v>
      </c>
      <c r="D157">
        <v>32196570894</v>
      </c>
    </row>
    <row r="158" spans="1:4" x14ac:dyDescent="0.35">
      <c r="A158" t="s">
        <v>162</v>
      </c>
      <c r="B158">
        <v>60317.031979462503</v>
      </c>
      <c r="C158">
        <v>1191818552364</v>
      </c>
      <c r="D158">
        <v>34191170118</v>
      </c>
    </row>
    <row r="159" spans="1:4" x14ac:dyDescent="0.35">
      <c r="A159" t="s">
        <v>163</v>
      </c>
      <c r="B159">
        <v>61440.412084945092</v>
      </c>
      <c r="C159">
        <v>1211837853549</v>
      </c>
      <c r="D159">
        <v>40445339415</v>
      </c>
    </row>
    <row r="160" spans="1:4" x14ac:dyDescent="0.35">
      <c r="A160" t="s">
        <v>164</v>
      </c>
      <c r="B160">
        <v>62966.529319105117</v>
      </c>
      <c r="C160">
        <v>1243871590271</v>
      </c>
      <c r="D160">
        <v>41959080716</v>
      </c>
    </row>
    <row r="161" spans="1:4" x14ac:dyDescent="0.35">
      <c r="A161" t="s">
        <v>165</v>
      </c>
      <c r="B161">
        <v>63128.224540748255</v>
      </c>
      <c r="C161">
        <v>1246475981189</v>
      </c>
      <c r="D161">
        <v>35587830477</v>
      </c>
    </row>
    <row r="162" spans="1:4" x14ac:dyDescent="0.35">
      <c r="A162" t="s">
        <v>166</v>
      </c>
      <c r="B162">
        <v>63403.402349259355</v>
      </c>
      <c r="C162">
        <v>1254104417392</v>
      </c>
      <c r="D162">
        <v>12938083116</v>
      </c>
    </row>
    <row r="163" spans="1:4" x14ac:dyDescent="0.35">
      <c r="A163" t="s">
        <v>167</v>
      </c>
      <c r="B163">
        <v>63582.599569248247</v>
      </c>
      <c r="C163">
        <v>1255899286380</v>
      </c>
      <c r="D163">
        <v>20349365413</v>
      </c>
    </row>
    <row r="164" spans="1:4" x14ac:dyDescent="0.35">
      <c r="A164" t="s">
        <v>168</v>
      </c>
      <c r="B164">
        <v>63327.02654450202</v>
      </c>
      <c r="C164">
        <v>1251095079247</v>
      </c>
      <c r="D164">
        <v>23998847799</v>
      </c>
    </row>
    <row r="165" spans="1:4" x14ac:dyDescent="0.35">
      <c r="A165" t="s">
        <v>169</v>
      </c>
      <c r="B165">
        <v>64334.142748760969</v>
      </c>
      <c r="C165">
        <v>1271183646357</v>
      </c>
      <c r="D165">
        <v>31490984594</v>
      </c>
    </row>
    <row r="166" spans="1:4" x14ac:dyDescent="0.35">
      <c r="A166" t="s">
        <v>170</v>
      </c>
      <c r="B166">
        <v>63151.899594013368</v>
      </c>
      <c r="C166">
        <v>1245721254991</v>
      </c>
      <c r="D166">
        <v>26087643766</v>
      </c>
    </row>
    <row r="167" spans="1:4" x14ac:dyDescent="0.35">
      <c r="A167" t="s">
        <v>171</v>
      </c>
      <c r="B167">
        <v>65130.768840232311</v>
      </c>
      <c r="C167">
        <v>1287151352433</v>
      </c>
      <c r="D167">
        <v>37995568904</v>
      </c>
    </row>
    <row r="168" spans="1:4" x14ac:dyDescent="0.35">
      <c r="A168" t="s">
        <v>172</v>
      </c>
      <c r="B168">
        <v>65791.002125417421</v>
      </c>
      <c r="C168">
        <v>1299708226182</v>
      </c>
      <c r="D168">
        <v>32664917504</v>
      </c>
    </row>
    <row r="169" spans="1:4" x14ac:dyDescent="0.35">
      <c r="A169" t="s">
        <v>173</v>
      </c>
      <c r="B169">
        <v>65934.107094413572</v>
      </c>
      <c r="C169">
        <v>1303217687718</v>
      </c>
      <c r="D169">
        <v>15342911003</v>
      </c>
    </row>
    <row r="170" spans="1:4" x14ac:dyDescent="0.35">
      <c r="A170" t="s">
        <v>174</v>
      </c>
      <c r="B170">
        <v>65663.689866623346</v>
      </c>
      <c r="C170">
        <v>1297825615076</v>
      </c>
      <c r="D170">
        <v>12948707839</v>
      </c>
    </row>
    <row r="171" spans="1:4" x14ac:dyDescent="0.35">
      <c r="A171" t="s">
        <v>175</v>
      </c>
      <c r="B171">
        <v>63243.275324643822</v>
      </c>
      <c r="C171">
        <v>1249577803402</v>
      </c>
      <c r="D171">
        <v>35124446789</v>
      </c>
    </row>
    <row r="172" spans="1:4" x14ac:dyDescent="0.35">
      <c r="A172" t="s">
        <v>176</v>
      </c>
      <c r="B172">
        <v>60872.668543725544</v>
      </c>
      <c r="C172">
        <v>1202927109018</v>
      </c>
      <c r="D172">
        <v>54251488434</v>
      </c>
    </row>
    <row r="173" spans="1:4" x14ac:dyDescent="0.35">
      <c r="A173" t="s">
        <v>177</v>
      </c>
      <c r="B173">
        <v>60655.559791968481</v>
      </c>
      <c r="C173">
        <v>1198652098493</v>
      </c>
      <c r="D173">
        <v>41870731292</v>
      </c>
    </row>
    <row r="174" spans="1:4" x14ac:dyDescent="0.35">
      <c r="A174" t="s">
        <v>178</v>
      </c>
      <c r="B174">
        <v>60727.863951692962</v>
      </c>
      <c r="C174">
        <v>1200491237696</v>
      </c>
      <c r="D174">
        <v>37711138442</v>
      </c>
    </row>
    <row r="175" spans="1:4" x14ac:dyDescent="0.35">
      <c r="A175" t="s">
        <v>179</v>
      </c>
      <c r="B175">
        <v>62103.010472832531</v>
      </c>
      <c r="C175">
        <v>1226663492771</v>
      </c>
      <c r="D175">
        <v>30349059839</v>
      </c>
    </row>
    <row r="176" spans="1:4" x14ac:dyDescent="0.35">
      <c r="A176" t="s">
        <v>180</v>
      </c>
      <c r="B176">
        <v>62091.932585194016</v>
      </c>
      <c r="C176">
        <v>1226761949791</v>
      </c>
      <c r="D176">
        <v>11095453163</v>
      </c>
    </row>
    <row r="177" spans="1:4" x14ac:dyDescent="0.35">
      <c r="A177" t="s">
        <v>181</v>
      </c>
      <c r="B177">
        <v>62811.799728112659</v>
      </c>
      <c r="C177">
        <v>1241834324868</v>
      </c>
      <c r="D177">
        <v>14592422861</v>
      </c>
    </row>
    <row r="178" spans="1:4" x14ac:dyDescent="0.35">
      <c r="A178" t="s">
        <v>182</v>
      </c>
      <c r="B178">
        <v>62287.39010510681</v>
      </c>
      <c r="C178">
        <v>1231091696620</v>
      </c>
      <c r="D178">
        <v>33878876147</v>
      </c>
    </row>
    <row r="179" spans="1:4" x14ac:dyDescent="0.35">
      <c r="A179" t="s">
        <v>183</v>
      </c>
      <c r="B179">
        <v>62185.230423727575</v>
      </c>
      <c r="C179">
        <v>1229717180592</v>
      </c>
      <c r="D179">
        <v>28626429277</v>
      </c>
    </row>
    <row r="180" spans="1:4" x14ac:dyDescent="0.35">
      <c r="A180" t="s">
        <v>184</v>
      </c>
      <c r="B180">
        <v>60597.150456182753</v>
      </c>
      <c r="C180">
        <v>1197736450280</v>
      </c>
      <c r="D180">
        <v>28530748118</v>
      </c>
    </row>
    <row r="181" spans="1:4" x14ac:dyDescent="0.35">
      <c r="A181" t="s">
        <v>185</v>
      </c>
      <c r="B181">
        <v>60195.180737724528</v>
      </c>
      <c r="C181">
        <v>1189691671375</v>
      </c>
      <c r="D181">
        <v>29481971886</v>
      </c>
    </row>
    <row r="182" spans="1:4" x14ac:dyDescent="0.35">
      <c r="A182" t="s">
        <v>186</v>
      </c>
      <c r="B182">
        <v>62392.340482931591</v>
      </c>
      <c r="C182">
        <v>1233357176570</v>
      </c>
      <c r="D182">
        <v>32008659336</v>
      </c>
    </row>
    <row r="183" spans="1:4" x14ac:dyDescent="0.35">
      <c r="A183" t="s">
        <v>187</v>
      </c>
      <c r="B183">
        <v>63207.770621275573</v>
      </c>
      <c r="C183">
        <v>1249002272717</v>
      </c>
      <c r="D183">
        <v>17665963646</v>
      </c>
    </row>
    <row r="184" spans="1:4" x14ac:dyDescent="0.35">
      <c r="A184" t="s">
        <v>188</v>
      </c>
      <c r="B184">
        <v>62829.533686088886</v>
      </c>
      <c r="C184">
        <v>1241241970951</v>
      </c>
      <c r="D184">
        <v>16784552979</v>
      </c>
    </row>
    <row r="185" spans="1:4" x14ac:dyDescent="0.35">
      <c r="A185" t="s">
        <v>189</v>
      </c>
      <c r="B185">
        <v>66049.994927080217</v>
      </c>
      <c r="C185">
        <v>1306085613998</v>
      </c>
      <c r="D185">
        <v>46553796134</v>
      </c>
    </row>
    <row r="186" spans="1:4" x14ac:dyDescent="0.35">
      <c r="A186" t="s">
        <v>190</v>
      </c>
      <c r="B186">
        <v>66962.219944967932</v>
      </c>
      <c r="C186">
        <v>1323774576162</v>
      </c>
      <c r="D186">
        <v>51797932877</v>
      </c>
    </row>
    <row r="187" spans="1:4" x14ac:dyDescent="0.35">
      <c r="A187" t="s">
        <v>191</v>
      </c>
      <c r="B187">
        <v>67647.544147668712</v>
      </c>
      <c r="C187">
        <v>1337304399195</v>
      </c>
      <c r="D187">
        <v>40640495380</v>
      </c>
    </row>
    <row r="188" spans="1:4" x14ac:dyDescent="0.35">
      <c r="A188" t="s">
        <v>192</v>
      </c>
      <c r="B188">
        <v>67328.105270029875</v>
      </c>
      <c r="C188">
        <v>1330387728624</v>
      </c>
      <c r="D188">
        <v>34512072358</v>
      </c>
    </row>
    <row r="189" spans="1:4" x14ac:dyDescent="0.35">
      <c r="A189" t="s">
        <v>193</v>
      </c>
      <c r="B189">
        <v>68465.619206687348</v>
      </c>
      <c r="C189">
        <v>1353541799303</v>
      </c>
      <c r="D189">
        <v>39984956633</v>
      </c>
    </row>
    <row r="190" spans="1:4" x14ac:dyDescent="0.35">
      <c r="A190" t="s">
        <v>194</v>
      </c>
      <c r="B190">
        <v>68388.871289652743</v>
      </c>
      <c r="C190">
        <v>1351942347611</v>
      </c>
      <c r="D190">
        <v>14110889435</v>
      </c>
    </row>
    <row r="191" spans="1:4" x14ac:dyDescent="0.35">
      <c r="A191" t="s">
        <v>195</v>
      </c>
      <c r="B191">
        <v>68962.829180456931</v>
      </c>
      <c r="C191">
        <v>1362381684460</v>
      </c>
      <c r="D191">
        <v>17253863433</v>
      </c>
    </row>
    <row r="192" spans="1:4" x14ac:dyDescent="0.35">
      <c r="A192" t="s">
        <v>196</v>
      </c>
      <c r="B192">
        <v>67394.857757356178</v>
      </c>
      <c r="C192">
        <v>1332326858574</v>
      </c>
      <c r="D192">
        <v>40485496092</v>
      </c>
    </row>
    <row r="193" spans="1:4" x14ac:dyDescent="0.35">
      <c r="A193" t="s">
        <v>197</v>
      </c>
      <c r="B193">
        <v>67351.047935124981</v>
      </c>
      <c r="C193">
        <v>1331426858508</v>
      </c>
      <c r="D193">
        <v>31398389967</v>
      </c>
    </row>
    <row r="194" spans="1:4" x14ac:dyDescent="0.35">
      <c r="A194" t="s">
        <v>198</v>
      </c>
      <c r="B194">
        <v>66683.968065423061</v>
      </c>
      <c r="C194">
        <v>1318285437546</v>
      </c>
      <c r="D194">
        <v>32676918488</v>
      </c>
    </row>
    <row r="195" spans="1:4" x14ac:dyDescent="0.35">
      <c r="A195" t="s">
        <v>199</v>
      </c>
      <c r="B195">
        <v>68214.052051574021</v>
      </c>
      <c r="C195">
        <v>1347888109011</v>
      </c>
      <c r="D195">
        <v>35892606570</v>
      </c>
    </row>
    <row r="196" spans="1:4" x14ac:dyDescent="0.35">
      <c r="A196" t="s">
        <v>200</v>
      </c>
      <c r="B196">
        <v>66585.665355014455</v>
      </c>
      <c r="C196">
        <v>1313975091942</v>
      </c>
      <c r="D196">
        <v>48426924850</v>
      </c>
    </row>
    <row r="197" spans="1:4" x14ac:dyDescent="0.35">
      <c r="A197" t="s">
        <v>201</v>
      </c>
      <c r="B197">
        <v>67018.165017026506</v>
      </c>
      <c r="C197">
        <v>1325192118637</v>
      </c>
      <c r="D197">
        <v>21169467790</v>
      </c>
    </row>
    <row r="198" spans="1:4" x14ac:dyDescent="0.35">
      <c r="A198" t="s">
        <v>202</v>
      </c>
      <c r="B198">
        <v>67938.554128856733</v>
      </c>
      <c r="C198">
        <v>1343350549900</v>
      </c>
      <c r="D198">
        <v>16533385730</v>
      </c>
    </row>
    <row r="199" spans="1:4" x14ac:dyDescent="0.35">
      <c r="A199" t="s">
        <v>203</v>
      </c>
      <c r="B199">
        <v>69845.304531168993</v>
      </c>
      <c r="C199">
        <v>1380874923096</v>
      </c>
      <c r="D199">
        <v>41990540385</v>
      </c>
    </row>
    <row r="200" spans="1:4" x14ac:dyDescent="0.35">
      <c r="A200" t="s">
        <v>204</v>
      </c>
      <c r="B200">
        <v>72781.113081581323</v>
      </c>
      <c r="C200">
        <v>1439310420089</v>
      </c>
      <c r="D200">
        <v>65487782005</v>
      </c>
    </row>
    <row r="201" spans="1:4" x14ac:dyDescent="0.35">
      <c r="A201" t="s">
        <v>205</v>
      </c>
      <c r="B201">
        <v>72342.621711279862</v>
      </c>
      <c r="C201">
        <v>1431085552900</v>
      </c>
      <c r="D201">
        <v>43498144314</v>
      </c>
    </row>
    <row r="202" spans="1:4" x14ac:dyDescent="0.35">
      <c r="A202" t="s">
        <v>206</v>
      </c>
      <c r="B202">
        <v>70264.99735573279</v>
      </c>
      <c r="C202">
        <v>1390195908293</v>
      </c>
      <c r="D202">
        <v>45907074189</v>
      </c>
    </row>
    <row r="203" spans="1:4" x14ac:dyDescent="0.35">
      <c r="A203" t="s">
        <v>207</v>
      </c>
      <c r="B203">
        <v>69507.922563956468</v>
      </c>
      <c r="C203">
        <v>1374687306837</v>
      </c>
      <c r="D203">
        <v>54863092261</v>
      </c>
    </row>
    <row r="204" spans="1:4" x14ac:dyDescent="0.35">
      <c r="A204" t="s">
        <v>208</v>
      </c>
      <c r="B204">
        <v>69299.160366994125</v>
      </c>
      <c r="C204">
        <v>1370516856366</v>
      </c>
      <c r="D204">
        <v>14709379755</v>
      </c>
    </row>
    <row r="205" spans="1:4" x14ac:dyDescent="0.35">
      <c r="A205" t="s">
        <v>209</v>
      </c>
      <c r="B205">
        <v>68803.506262774667</v>
      </c>
      <c r="C205">
        <v>1362302032218</v>
      </c>
      <c r="D205">
        <v>37659435507</v>
      </c>
    </row>
    <row r="206" spans="1:4" x14ac:dyDescent="0.35">
      <c r="A206" t="s">
        <v>210</v>
      </c>
      <c r="B206">
        <v>67793.297827047616</v>
      </c>
      <c r="C206">
        <v>1340192510480</v>
      </c>
      <c r="D206">
        <v>46183110994</v>
      </c>
    </row>
    <row r="207" spans="1:4" x14ac:dyDescent="0.35">
      <c r="A207" t="s">
        <v>211</v>
      </c>
      <c r="B207">
        <v>69335.425531337576</v>
      </c>
      <c r="C207">
        <v>1370963795353</v>
      </c>
      <c r="D207">
        <v>40025021601</v>
      </c>
    </row>
    <row r="208" spans="1:4" x14ac:dyDescent="0.35">
      <c r="A208" t="s">
        <v>212</v>
      </c>
      <c r="B208">
        <v>75620.886069631917</v>
      </c>
      <c r="C208">
        <v>1496392703841</v>
      </c>
      <c r="D208">
        <v>128492534668</v>
      </c>
    </row>
    <row r="209" spans="1:4" x14ac:dyDescent="0.35">
      <c r="A209" t="s">
        <v>213</v>
      </c>
      <c r="B209">
        <v>75987.241783206671</v>
      </c>
      <c r="C209">
        <v>1502620808928</v>
      </c>
      <c r="D209">
        <v>66590396087</v>
      </c>
    </row>
    <row r="210" spans="1:4" x14ac:dyDescent="0.35">
      <c r="A210" t="s">
        <v>214</v>
      </c>
      <c r="B210">
        <v>76550.0213845611</v>
      </c>
      <c r="C210">
        <v>1514048743889</v>
      </c>
      <c r="D210">
        <v>50687468388</v>
      </c>
    </row>
    <row r="211" spans="1:4" x14ac:dyDescent="0.35">
      <c r="A211" t="s">
        <v>215</v>
      </c>
      <c r="B211">
        <v>76630.22631415377</v>
      </c>
      <c r="C211">
        <v>1519470275068</v>
      </c>
      <c r="D211">
        <v>31430906056</v>
      </c>
    </row>
    <row r="212" spans="1:4" x14ac:dyDescent="0.35">
      <c r="A212" t="s">
        <v>216</v>
      </c>
      <c r="B212">
        <v>80466.716548335418</v>
      </c>
      <c r="C212">
        <v>1590846468754</v>
      </c>
      <c r="D212">
        <v>93473126208</v>
      </c>
    </row>
    <row r="213" spans="1:4" x14ac:dyDescent="0.35">
      <c r="A213" t="s">
        <v>217</v>
      </c>
      <c r="B213">
        <v>88637.420003229112</v>
      </c>
      <c r="C213">
        <v>1756619702929</v>
      </c>
      <c r="D213">
        <v>133959805309</v>
      </c>
    </row>
    <row r="214" spans="1:4" x14ac:dyDescent="0.35">
      <c r="A214" t="s">
        <v>218</v>
      </c>
      <c r="B214">
        <v>88264.599745828949</v>
      </c>
      <c r="C214">
        <v>1741113172482</v>
      </c>
      <c r="D214">
        <v>152356811694</v>
      </c>
    </row>
    <row r="215" spans="1:4" x14ac:dyDescent="0.35">
      <c r="A215" t="s">
        <v>219</v>
      </c>
      <c r="B215">
        <v>90488.100074978487</v>
      </c>
      <c r="C215">
        <v>1790737763695</v>
      </c>
      <c r="D215">
        <v>136046309844</v>
      </c>
    </row>
    <row r="216" spans="1:4" x14ac:dyDescent="0.35">
      <c r="A216" t="s">
        <v>220</v>
      </c>
      <c r="B216">
        <v>87407.512737101279</v>
      </c>
      <c r="C216">
        <v>1726797438787</v>
      </c>
      <c r="D216">
        <v>99649391847</v>
      </c>
    </row>
    <row r="217" spans="1:4" x14ac:dyDescent="0.35">
      <c r="A217" t="s">
        <v>221</v>
      </c>
      <c r="B217">
        <v>90947.975094437032</v>
      </c>
      <c r="C217">
        <v>1799276211922</v>
      </c>
      <c r="D217">
        <v>84382485698</v>
      </c>
    </row>
    <row r="218" spans="1:4" x14ac:dyDescent="0.35">
      <c r="A218" t="s">
        <v>222</v>
      </c>
      <c r="B218">
        <v>90606.45489380708</v>
      </c>
      <c r="C218">
        <v>1790415769635</v>
      </c>
      <c r="D218">
        <v>49255174407</v>
      </c>
    </row>
    <row r="219" spans="1:4" x14ac:dyDescent="0.35">
      <c r="A219" t="s">
        <v>223</v>
      </c>
      <c r="B219">
        <v>89841.471941351047</v>
      </c>
      <c r="C219">
        <v>1776887033230</v>
      </c>
      <c r="D219">
        <v>48556083102</v>
      </c>
    </row>
    <row r="220" spans="1:4" x14ac:dyDescent="0.35">
      <c r="A220" t="s">
        <v>224</v>
      </c>
      <c r="B220">
        <v>90534.624596502923</v>
      </c>
      <c r="C220">
        <v>1790917617392</v>
      </c>
      <c r="D220">
        <v>77391724184</v>
      </c>
    </row>
    <row r="221" spans="1:4" x14ac:dyDescent="0.35">
      <c r="A221" t="s">
        <v>225</v>
      </c>
      <c r="B221">
        <v>92251.652407383124</v>
      </c>
      <c r="C221">
        <v>1825195454019</v>
      </c>
      <c r="D221">
        <v>80493234958</v>
      </c>
    </row>
    <row r="222" spans="1:4" x14ac:dyDescent="0.35">
      <c r="A222" t="s">
        <v>226</v>
      </c>
      <c r="B222">
        <v>94217.022296342053</v>
      </c>
      <c r="C222">
        <v>1862618759426</v>
      </c>
      <c r="D222">
        <v>80747272080</v>
      </c>
    </row>
    <row r="223" spans="1:4" x14ac:dyDescent="0.35">
      <c r="A223" t="s">
        <v>227</v>
      </c>
      <c r="B223">
        <v>98509.118591024322</v>
      </c>
      <c r="C223">
        <v>1948284556982</v>
      </c>
      <c r="D223">
        <v>118163852022</v>
      </c>
    </row>
    <row r="224" spans="1:4" x14ac:dyDescent="0.35">
      <c r="A224" t="s">
        <v>228</v>
      </c>
      <c r="B224">
        <v>98927.49494553401</v>
      </c>
      <c r="C224">
        <v>1958091000958</v>
      </c>
      <c r="D224">
        <v>85746174564</v>
      </c>
    </row>
    <row r="225" spans="1:4" x14ac:dyDescent="0.35">
      <c r="A225" t="s">
        <v>229</v>
      </c>
      <c r="B225">
        <v>97679.463816430332</v>
      </c>
      <c r="C225">
        <v>1931255637662</v>
      </c>
      <c r="D225">
        <v>47414200207</v>
      </c>
    </row>
    <row r="226" spans="1:4" x14ac:dyDescent="0.35">
      <c r="A226" t="s">
        <v>230</v>
      </c>
      <c r="B226">
        <v>98015.935528945804</v>
      </c>
      <c r="C226">
        <v>1939446484727</v>
      </c>
      <c r="D226">
        <v>50665680247</v>
      </c>
    </row>
    <row r="227" spans="1:4" x14ac:dyDescent="0.35">
      <c r="A227" t="s">
        <v>231</v>
      </c>
      <c r="B227">
        <v>93004.700931032872</v>
      </c>
      <c r="C227">
        <v>1838788677874</v>
      </c>
      <c r="D227">
        <v>89476321216</v>
      </c>
    </row>
    <row r="228" spans="1:4" x14ac:dyDescent="0.35">
      <c r="A228" t="s">
        <v>232</v>
      </c>
      <c r="B228">
        <v>91931.830772918271</v>
      </c>
      <c r="C228">
        <v>1819990514406</v>
      </c>
      <c r="D228">
        <v>97389239316</v>
      </c>
    </row>
    <row r="229" spans="1:4" x14ac:dyDescent="0.35">
      <c r="A229" t="s">
        <v>233</v>
      </c>
      <c r="B229">
        <v>95981.180572105644</v>
      </c>
      <c r="C229">
        <v>1899088665519</v>
      </c>
      <c r="D229">
        <v>81469353260</v>
      </c>
    </row>
    <row r="230" spans="1:4" x14ac:dyDescent="0.35">
      <c r="A230" t="s">
        <v>234</v>
      </c>
      <c r="B230">
        <v>95661.595958178514</v>
      </c>
      <c r="C230">
        <v>1892297852305</v>
      </c>
      <c r="D230">
        <v>49067932024</v>
      </c>
    </row>
    <row r="231" spans="1:4" x14ac:dyDescent="0.35">
      <c r="A231" t="s">
        <v>235</v>
      </c>
      <c r="B231">
        <v>97453.247345104202</v>
      </c>
      <c r="C231">
        <v>1926826079390</v>
      </c>
      <c r="D231">
        <v>74670031636</v>
      </c>
    </row>
    <row r="232" spans="1:4" x14ac:dyDescent="0.35">
      <c r="A232" t="s">
        <v>236</v>
      </c>
      <c r="B232">
        <v>96513.142346982248</v>
      </c>
      <c r="C232">
        <v>1910022814270</v>
      </c>
      <c r="D232">
        <v>43580019721</v>
      </c>
    </row>
    <row r="233" spans="1:4" x14ac:dyDescent="0.35">
      <c r="A233" t="s">
        <v>237</v>
      </c>
      <c r="B233">
        <v>97311.707190843241</v>
      </c>
      <c r="C233">
        <v>1925808416478</v>
      </c>
      <c r="D233">
        <v>49147687433</v>
      </c>
    </row>
    <row r="234" spans="1:4" x14ac:dyDescent="0.35">
      <c r="A234" t="s">
        <v>238</v>
      </c>
      <c r="B234">
        <v>95833.1362300365</v>
      </c>
      <c r="C234">
        <v>1896576914276</v>
      </c>
      <c r="D234">
        <v>101019861361</v>
      </c>
    </row>
    <row r="235" spans="1:4" x14ac:dyDescent="0.35">
      <c r="A235" t="s">
        <v>239</v>
      </c>
      <c r="B235">
        <v>96031.63097759831</v>
      </c>
      <c r="C235">
        <v>1900922167493</v>
      </c>
      <c r="D235">
        <v>87935752288</v>
      </c>
    </row>
    <row r="236" spans="1:4" x14ac:dyDescent="0.35">
      <c r="A236" t="s">
        <v>240</v>
      </c>
      <c r="B236">
        <v>98881.469456182298</v>
      </c>
      <c r="C236">
        <v>1957276192604</v>
      </c>
      <c r="D236">
        <v>98230784298</v>
      </c>
    </row>
    <row r="237" spans="1:4" x14ac:dyDescent="0.35">
      <c r="A237" t="s">
        <v>241</v>
      </c>
      <c r="B237">
        <v>97201.500364077408</v>
      </c>
      <c r="C237">
        <v>1920742551504</v>
      </c>
      <c r="D237">
        <v>190460293532</v>
      </c>
    </row>
    <row r="238" spans="1:4" x14ac:dyDescent="0.35">
      <c r="A238" t="s">
        <v>242</v>
      </c>
      <c r="B238">
        <v>99973.851506598265</v>
      </c>
      <c r="C238">
        <v>1978389972044</v>
      </c>
      <c r="D238">
        <v>115812632020</v>
      </c>
    </row>
    <row r="239" spans="1:4" x14ac:dyDescent="0.35">
      <c r="A239" t="s">
        <v>243</v>
      </c>
      <c r="B239">
        <v>99781.829991981736</v>
      </c>
      <c r="C239">
        <v>1974739091621</v>
      </c>
      <c r="D239">
        <v>61061136200</v>
      </c>
    </row>
    <row r="240" spans="1:4" x14ac:dyDescent="0.35">
      <c r="A240" t="s">
        <v>244</v>
      </c>
      <c r="B240">
        <v>101235.3717025316</v>
      </c>
      <c r="C240">
        <v>2003238967639</v>
      </c>
      <c r="D240">
        <v>62677764785</v>
      </c>
    </row>
    <row r="241" spans="1:4" x14ac:dyDescent="0.35">
      <c r="A241" t="s">
        <v>245</v>
      </c>
      <c r="B241">
        <v>97353.947008208866</v>
      </c>
      <c r="C241">
        <v>1926047690158</v>
      </c>
      <c r="D241">
        <v>146846843212</v>
      </c>
    </row>
    <row r="242" spans="1:4" x14ac:dyDescent="0.35">
      <c r="A242" t="s">
        <v>246</v>
      </c>
      <c r="B242">
        <v>96649.714467715312</v>
      </c>
      <c r="C242">
        <v>1913115778728</v>
      </c>
      <c r="D242">
        <v>125835977743</v>
      </c>
    </row>
    <row r="243" spans="1:4" x14ac:dyDescent="0.35">
      <c r="A243" t="s">
        <v>247</v>
      </c>
      <c r="B243">
        <v>101123.61811033697</v>
      </c>
      <c r="C243">
        <v>2001746436339</v>
      </c>
      <c r="D243">
        <v>118484957961</v>
      </c>
    </row>
    <row r="244" spans="1:4" x14ac:dyDescent="0.35">
      <c r="A244" t="s">
        <v>248</v>
      </c>
      <c r="B244">
        <v>100000.80836535197</v>
      </c>
      <c r="C244">
        <v>1979166149963</v>
      </c>
      <c r="D244">
        <v>100092043320</v>
      </c>
    </row>
    <row r="245" spans="1:4" x14ac:dyDescent="0.35">
      <c r="A245" t="s">
        <v>249</v>
      </c>
      <c r="B245">
        <v>101352.22971292294</v>
      </c>
      <c r="C245">
        <v>2005406021236</v>
      </c>
      <c r="D245">
        <v>78802903279</v>
      </c>
    </row>
    <row r="246" spans="1:4" x14ac:dyDescent="0.35">
      <c r="A246" t="s">
        <v>250</v>
      </c>
      <c r="B246">
        <v>101367.01064553364</v>
      </c>
      <c r="C246">
        <v>2007646386699</v>
      </c>
      <c r="D246">
        <v>57321924844</v>
      </c>
    </row>
    <row r="247" spans="1:4" x14ac:dyDescent="0.35">
      <c r="A247" t="s">
        <v>251</v>
      </c>
      <c r="B247">
        <v>104721.50151808978</v>
      </c>
      <c r="C247">
        <v>2075487816560</v>
      </c>
      <c r="D247">
        <v>70645074625</v>
      </c>
    </row>
    <row r="248" spans="1:4" x14ac:dyDescent="0.35">
      <c r="A248" t="s">
        <v>252</v>
      </c>
      <c r="B248">
        <v>106074.10723541168</v>
      </c>
      <c r="C248">
        <v>2097460193711</v>
      </c>
      <c r="D248">
        <v>115184737759</v>
      </c>
    </row>
    <row r="249" spans="1:4" x14ac:dyDescent="0.35">
      <c r="A249" t="s">
        <v>253</v>
      </c>
      <c r="B249">
        <v>106034.913402645</v>
      </c>
      <c r="C249">
        <v>2100629850065</v>
      </c>
      <c r="D249">
        <v>93417826250</v>
      </c>
    </row>
    <row r="250" spans="1:4" x14ac:dyDescent="0.35">
      <c r="A250" t="s">
        <v>254</v>
      </c>
      <c r="B250">
        <v>100355.5761481501</v>
      </c>
      <c r="C250">
        <v>1985284833094</v>
      </c>
      <c r="D250">
        <v>113692025885</v>
      </c>
    </row>
    <row r="251" spans="1:4" x14ac:dyDescent="0.35">
      <c r="A251" t="s">
        <v>255</v>
      </c>
      <c r="B251">
        <v>97851.353770758054</v>
      </c>
      <c r="C251">
        <v>1937022229972</v>
      </c>
      <c r="D251">
        <v>100611554887</v>
      </c>
    </row>
    <row r="252" spans="1:4" x14ac:dyDescent="0.35">
      <c r="A252" t="s">
        <v>256</v>
      </c>
      <c r="B252">
        <v>97691.434316926534</v>
      </c>
      <c r="C252">
        <v>1932373308116</v>
      </c>
      <c r="D252">
        <v>112340864007</v>
      </c>
    </row>
    <row r="253" spans="1:4" x14ac:dyDescent="0.35">
      <c r="A253" t="s">
        <v>257</v>
      </c>
      <c r="B253">
        <v>97202.824968476329</v>
      </c>
      <c r="C253">
        <v>1922768195068</v>
      </c>
      <c r="D253">
        <v>53058382639</v>
      </c>
    </row>
    <row r="254" spans="1:4" x14ac:dyDescent="0.35">
      <c r="A254" t="s">
        <v>258</v>
      </c>
      <c r="B254">
        <v>95094.273948621732</v>
      </c>
      <c r="C254">
        <v>1884599149192</v>
      </c>
      <c r="D254">
        <v>44619017105</v>
      </c>
    </row>
    <row r="255" spans="1:4" x14ac:dyDescent="0.35">
      <c r="A255" t="s">
        <v>259</v>
      </c>
      <c r="B255">
        <v>94644.910854643211</v>
      </c>
      <c r="C255">
        <v>1874912975787</v>
      </c>
      <c r="D255">
        <v>64937790293</v>
      </c>
    </row>
    <row r="256" spans="1:4" x14ac:dyDescent="0.35">
      <c r="A256" t="s">
        <v>260</v>
      </c>
      <c r="B256">
        <v>98695.714007826013</v>
      </c>
      <c r="C256">
        <v>1951173788529</v>
      </c>
      <c r="D256">
        <v>49169088282</v>
      </c>
    </row>
    <row r="257" spans="1:4" x14ac:dyDescent="0.35">
      <c r="A257" t="s">
        <v>261</v>
      </c>
      <c r="B257">
        <v>99344.954173672289</v>
      </c>
      <c r="C257">
        <v>1966481159354</v>
      </c>
      <c r="D257">
        <v>33963749856</v>
      </c>
    </row>
    <row r="258" spans="1:4" x14ac:dyDescent="0.35">
      <c r="A258" t="s">
        <v>262</v>
      </c>
      <c r="B258">
        <v>95678.312445654054</v>
      </c>
      <c r="C258">
        <v>1894744251986</v>
      </c>
      <c r="D258">
        <v>45049342388</v>
      </c>
    </row>
    <row r="259" spans="1:4" x14ac:dyDescent="0.35">
      <c r="A259" t="s">
        <v>263</v>
      </c>
      <c r="B259">
        <v>94331.947270530771</v>
      </c>
      <c r="C259">
        <v>1867708753555</v>
      </c>
      <c r="D259">
        <v>41498540808</v>
      </c>
    </row>
    <row r="260" spans="1:4" x14ac:dyDescent="0.35">
      <c r="A260" t="s">
        <v>264</v>
      </c>
      <c r="B260">
        <v>95184.619452886021</v>
      </c>
      <c r="C260">
        <v>1885556552231</v>
      </c>
      <c r="D260">
        <v>22429850904</v>
      </c>
    </row>
    <row r="261" spans="1:4" x14ac:dyDescent="0.35">
      <c r="A261" t="s">
        <v>265</v>
      </c>
      <c r="B261">
        <v>93663.447519640671</v>
      </c>
      <c r="C261">
        <v>1854872605739</v>
      </c>
      <c r="D261">
        <v>24065314500</v>
      </c>
    </row>
    <row r="262" spans="1:4" x14ac:dyDescent="0.35">
      <c r="A262" t="s">
        <v>266</v>
      </c>
      <c r="B262">
        <v>92627.282131132772</v>
      </c>
      <c r="C262">
        <v>1833188187478</v>
      </c>
      <c r="D262">
        <v>57595164139</v>
      </c>
    </row>
    <row r="263" spans="1:4" x14ac:dyDescent="0.35">
      <c r="A263" t="s">
        <v>267</v>
      </c>
      <c r="B263">
        <v>93507.85874741491</v>
      </c>
      <c r="C263">
        <v>1851839954625</v>
      </c>
      <c r="D263">
        <v>45327464908</v>
      </c>
    </row>
    <row r="264" spans="1:4" x14ac:dyDescent="0.35">
      <c r="A264" t="s">
        <v>268</v>
      </c>
      <c r="B264">
        <v>94384.176115387105</v>
      </c>
      <c r="C264">
        <v>1869193319140</v>
      </c>
      <c r="D264">
        <v>23275007789</v>
      </c>
    </row>
    <row r="265" spans="1:4" x14ac:dyDescent="0.35">
      <c r="A265" t="s">
        <v>269</v>
      </c>
      <c r="B265">
        <v>96852.146812350751</v>
      </c>
      <c r="C265">
        <v>1917905016064</v>
      </c>
      <c r="D265">
        <v>45157338603</v>
      </c>
    </row>
    <row r="266" spans="1:4" x14ac:dyDescent="0.35">
      <c r="A266" t="s">
        <v>270</v>
      </c>
      <c r="B266">
        <v>98084.34279280754</v>
      </c>
      <c r="C266">
        <v>1942834829350</v>
      </c>
      <c r="D266">
        <v>35721645948</v>
      </c>
    </row>
    <row r="267" spans="1:4" x14ac:dyDescent="0.35">
      <c r="A267" t="s">
        <v>271</v>
      </c>
      <c r="B267">
        <v>98256.73876849933</v>
      </c>
      <c r="C267">
        <v>1946611205641</v>
      </c>
      <c r="D267">
        <v>20979035421</v>
      </c>
    </row>
    <row r="268" spans="1:4" x14ac:dyDescent="0.35">
      <c r="A268" t="s">
        <v>272</v>
      </c>
      <c r="B268">
        <v>98364.589465998375</v>
      </c>
      <c r="C268">
        <v>1948339898719</v>
      </c>
      <c r="D268">
        <v>20060293835</v>
      </c>
    </row>
    <row r="269" spans="1:4" x14ac:dyDescent="0.35">
      <c r="A269" t="s">
        <v>273</v>
      </c>
      <c r="B269">
        <v>102229.39453189743</v>
      </c>
      <c r="C269">
        <v>2024825178620</v>
      </c>
      <c r="D269">
        <v>46111387334</v>
      </c>
    </row>
    <row r="270" spans="1:4" x14ac:dyDescent="0.35">
      <c r="A270" t="s">
        <v>274</v>
      </c>
      <c r="B270">
        <v>96952.098867749562</v>
      </c>
      <c r="C270">
        <v>1919133187081</v>
      </c>
      <c r="D270">
        <v>60610257147</v>
      </c>
    </row>
    <row r="271" spans="1:4" x14ac:dyDescent="0.35">
      <c r="A271" t="s">
        <v>275</v>
      </c>
      <c r="B271">
        <v>95016.714409891763</v>
      </c>
      <c r="C271">
        <v>1885313354914</v>
      </c>
      <c r="D271">
        <v>65790469838</v>
      </c>
    </row>
    <row r="272" spans="1:4" x14ac:dyDescent="0.35">
      <c r="A272" t="s">
        <v>276</v>
      </c>
      <c r="B272">
        <v>92376.275783461009</v>
      </c>
      <c r="C272">
        <v>1832933628118</v>
      </c>
      <c r="D272">
        <v>65850881575</v>
      </c>
    </row>
    <row r="273" spans="1:4" x14ac:dyDescent="0.35">
      <c r="A273" t="s">
        <v>277</v>
      </c>
      <c r="B273">
        <v>94736.626742096894</v>
      </c>
      <c r="C273">
        <v>1876836759923</v>
      </c>
      <c r="D273">
        <v>63433655717</v>
      </c>
    </row>
    <row r="274" spans="1:4" x14ac:dyDescent="0.35">
      <c r="A274" t="s">
        <v>278</v>
      </c>
      <c r="B274">
        <v>94559.551672242131</v>
      </c>
      <c r="C274">
        <v>1874286243378</v>
      </c>
      <c r="D274">
        <v>17836423168</v>
      </c>
    </row>
    <row r="275" spans="1:4" x14ac:dyDescent="0.35">
      <c r="A275" t="s">
        <v>279</v>
      </c>
      <c r="B275">
        <v>94454.770896388072</v>
      </c>
      <c r="C275">
        <v>1870314882307</v>
      </c>
      <c r="D275">
        <v>19608932596</v>
      </c>
    </row>
    <row r="276" spans="1:4" x14ac:dyDescent="0.35">
      <c r="A276" t="s">
        <v>280</v>
      </c>
      <c r="B276">
        <v>94456.349374699304</v>
      </c>
      <c r="C276">
        <v>1870609367805</v>
      </c>
      <c r="D276">
        <v>76328330233</v>
      </c>
    </row>
    <row r="277" spans="1:4" x14ac:dyDescent="0.35">
      <c r="A277" t="s">
        <v>281</v>
      </c>
      <c r="B277">
        <v>96574.077687991943</v>
      </c>
      <c r="C277">
        <v>1912603332624</v>
      </c>
      <c r="D277">
        <v>51241728229</v>
      </c>
    </row>
    <row r="278" spans="1:4" x14ac:dyDescent="0.35">
      <c r="A278" t="s">
        <v>282</v>
      </c>
      <c r="B278">
        <v>100313.15239828422</v>
      </c>
      <c r="C278">
        <v>1986831430652</v>
      </c>
      <c r="D278">
        <v>57637319740</v>
      </c>
    </row>
    <row r="279" spans="1:4" x14ac:dyDescent="0.35">
      <c r="A279" t="s">
        <v>283</v>
      </c>
      <c r="B279">
        <v>100044.57926776377</v>
      </c>
      <c r="C279">
        <v>1980935754458</v>
      </c>
      <c r="D279">
        <v>50150102497</v>
      </c>
    </row>
    <row r="280" spans="1:4" x14ac:dyDescent="0.35">
      <c r="A280" t="s">
        <v>284</v>
      </c>
      <c r="B280">
        <v>104160.69358484233</v>
      </c>
      <c r="C280">
        <v>2063854663834</v>
      </c>
      <c r="D280">
        <v>69135117732</v>
      </c>
    </row>
    <row r="281" spans="1:4" x14ac:dyDescent="0.35">
      <c r="A281" t="s">
        <v>285</v>
      </c>
      <c r="B281">
        <v>104334.61575724394</v>
      </c>
      <c r="C281">
        <v>2067151195362</v>
      </c>
      <c r="D281">
        <v>49416447749</v>
      </c>
    </row>
    <row r="282" spans="1:4" x14ac:dyDescent="0.35">
      <c r="A282" t="s">
        <v>286</v>
      </c>
      <c r="B282">
        <v>101275.33714814208</v>
      </c>
      <c r="C282">
        <v>2014842808850</v>
      </c>
      <c r="D282">
        <v>72970313684</v>
      </c>
    </row>
    <row r="283" spans="1:4" x14ac:dyDescent="0.35">
      <c r="A283" t="s">
        <v>287</v>
      </c>
      <c r="B283">
        <v>101764.90860170545</v>
      </c>
      <c r="C283">
        <v>2017837068202</v>
      </c>
      <c r="D283">
        <v>120158523167</v>
      </c>
    </row>
    <row r="284" spans="1:4" x14ac:dyDescent="0.35">
      <c r="A284" t="s">
        <v>288</v>
      </c>
      <c r="B284">
        <v>106182.2368201815</v>
      </c>
      <c r="C284">
        <v>2098829000928</v>
      </c>
      <c r="D284">
        <v>95344290058</v>
      </c>
    </row>
    <row r="285" spans="1:4" x14ac:dyDescent="0.35">
      <c r="A285" t="s">
        <v>289</v>
      </c>
      <c r="B285">
        <v>103673.53509537787</v>
      </c>
      <c r="C285">
        <v>2054288661794</v>
      </c>
      <c r="D285">
        <v>55030669603</v>
      </c>
    </row>
    <row r="286" spans="1:4" x14ac:dyDescent="0.35">
      <c r="A286" t="s">
        <v>290</v>
      </c>
      <c r="B286">
        <v>104067.60991206947</v>
      </c>
      <c r="C286">
        <v>2062360759045</v>
      </c>
      <c r="D286">
        <v>102455227371</v>
      </c>
    </row>
    <row r="287" spans="1:4" x14ac:dyDescent="0.35">
      <c r="A287" t="s">
        <v>291</v>
      </c>
      <c r="B287">
        <v>104835.19253555956</v>
      </c>
      <c r="C287">
        <v>2076156720643</v>
      </c>
      <c r="D287">
        <v>51418786363</v>
      </c>
    </row>
    <row r="288" spans="1:4" x14ac:dyDescent="0.35">
      <c r="A288" t="s">
        <v>292</v>
      </c>
      <c r="B288">
        <v>104796.04077738234</v>
      </c>
      <c r="C288">
        <v>2077647817531</v>
      </c>
      <c r="D288">
        <v>22740744965</v>
      </c>
    </row>
    <row r="289" spans="1:4" x14ac:dyDescent="0.35">
      <c r="A289" t="s">
        <v>293</v>
      </c>
      <c r="B289">
        <v>102552.24874280207</v>
      </c>
      <c r="C289">
        <v>2036324005947</v>
      </c>
      <c r="D289">
        <v>20639818380</v>
      </c>
    </row>
    <row r="290" spans="1:4" x14ac:dyDescent="0.35">
      <c r="A290" t="s">
        <v>294</v>
      </c>
      <c r="B290">
        <v>101958.46953745594</v>
      </c>
      <c r="C290">
        <v>2019295541214</v>
      </c>
      <c r="D290">
        <v>93191643783</v>
      </c>
    </row>
    <row r="291" spans="1:4" x14ac:dyDescent="0.35">
      <c r="A291" t="s">
        <v>295</v>
      </c>
      <c r="B291">
        <v>101313.11264498268</v>
      </c>
      <c r="C291">
        <v>2007072201508</v>
      </c>
      <c r="D291">
        <v>45780526814</v>
      </c>
    </row>
    <row r="292" spans="1:4" x14ac:dyDescent="0.35">
      <c r="A292" t="s">
        <v>296</v>
      </c>
      <c r="B292">
        <v>103718.97939813645</v>
      </c>
      <c r="C292">
        <v>2056581551172</v>
      </c>
      <c r="D292">
        <v>47425401642</v>
      </c>
    </row>
    <row r="293" spans="1:4" x14ac:dyDescent="0.35">
      <c r="A293" t="s">
        <v>297</v>
      </c>
      <c r="B293">
        <v>104781.51351001031</v>
      </c>
      <c r="C293">
        <v>2076760153261</v>
      </c>
      <c r="D293">
        <v>42122570869</v>
      </c>
    </row>
    <row r="294" spans="1:4" x14ac:dyDescent="0.35">
      <c r="A294" t="s">
        <v>298</v>
      </c>
      <c r="B294">
        <v>102382.39409722165</v>
      </c>
      <c r="C294">
        <v>2028504133577</v>
      </c>
      <c r="D294">
        <v>37187819228</v>
      </c>
    </row>
    <row r="295" spans="1:4" x14ac:dyDescent="0.35">
      <c r="A295" t="s">
        <v>299</v>
      </c>
      <c r="B295">
        <v>100674.78762544956</v>
      </c>
      <c r="C295">
        <v>1996423711262</v>
      </c>
      <c r="D295">
        <v>22827776122</v>
      </c>
    </row>
    <row r="296" spans="1:4" x14ac:dyDescent="0.35">
      <c r="A296" t="s">
        <v>300</v>
      </c>
      <c r="B296">
        <v>97568.316530248747</v>
      </c>
      <c r="C296">
        <v>1933691439792</v>
      </c>
      <c r="D296">
        <v>59784234332</v>
      </c>
    </row>
    <row r="297" spans="1:4" x14ac:dyDescent="0.35">
      <c r="A297" t="s">
        <v>301</v>
      </c>
      <c r="B297">
        <v>101466.86066570391</v>
      </c>
      <c r="C297">
        <v>2011121374512</v>
      </c>
      <c r="D297">
        <v>122163969235</v>
      </c>
    </row>
    <row r="298" spans="1:4" x14ac:dyDescent="0.35">
      <c r="A298" t="s">
        <v>302</v>
      </c>
      <c r="B298">
        <v>98118.439216644663</v>
      </c>
      <c r="C298">
        <v>1943535291172</v>
      </c>
      <c r="D298">
        <v>73196693058</v>
      </c>
    </row>
    <row r="299" spans="1:4" x14ac:dyDescent="0.35">
      <c r="A299" t="s">
        <v>303</v>
      </c>
      <c r="B299">
        <v>96582.886829190524</v>
      </c>
      <c r="C299">
        <v>1912584628590</v>
      </c>
      <c r="D299">
        <v>48848958932</v>
      </c>
    </row>
    <row r="300" spans="1:4" x14ac:dyDescent="0.35">
      <c r="A300" t="s">
        <v>304</v>
      </c>
      <c r="B300">
        <v>96635.418753322112</v>
      </c>
      <c r="C300">
        <v>1915093756058</v>
      </c>
      <c r="D300">
        <v>44462180396</v>
      </c>
    </row>
    <row r="301" spans="1:4" x14ac:dyDescent="0.35">
      <c r="A301" t="s">
        <v>305</v>
      </c>
      <c r="B301">
        <v>96558.456309666697</v>
      </c>
      <c r="C301">
        <v>1911296376425</v>
      </c>
      <c r="D301">
        <v>57077722340</v>
      </c>
    </row>
    <row r="302" spans="1:4" x14ac:dyDescent="0.35">
      <c r="A302" t="s">
        <v>306</v>
      </c>
      <c r="B302">
        <v>96558.237625010908</v>
      </c>
      <c r="C302">
        <v>1914211835440</v>
      </c>
      <c r="D302">
        <v>20760850645</v>
      </c>
    </row>
    <row r="303" spans="1:4" x14ac:dyDescent="0.35">
      <c r="A303" t="s">
        <v>307</v>
      </c>
      <c r="B303">
        <v>96548.578653795848</v>
      </c>
      <c r="C303">
        <v>1913068773356</v>
      </c>
      <c r="D303">
        <v>25457107581</v>
      </c>
    </row>
    <row r="304" spans="1:4" x14ac:dyDescent="0.35">
      <c r="A304" t="s">
        <v>308</v>
      </c>
      <c r="B304">
        <v>97399.981613831973</v>
      </c>
      <c r="C304">
        <v>1930742951090</v>
      </c>
      <c r="D304">
        <v>37054987394</v>
      </c>
    </row>
    <row r="305" spans="1:4" x14ac:dyDescent="0.35">
      <c r="A305" t="s">
        <v>309</v>
      </c>
      <c r="B305">
        <v>95739.977370792389</v>
      </c>
      <c r="C305">
        <v>1898788887978</v>
      </c>
      <c r="D305">
        <v>36454577155</v>
      </c>
    </row>
    <row r="306" spans="1:4" x14ac:dyDescent="0.35">
      <c r="A306" t="s">
        <v>310</v>
      </c>
      <c r="B306">
        <v>97836.18856127483</v>
      </c>
      <c r="C306">
        <v>1936842454814</v>
      </c>
      <c r="D306">
        <v>47115618235</v>
      </c>
    </row>
    <row r="307" spans="1:4" x14ac:dyDescent="0.35">
      <c r="A307" t="s">
        <v>311</v>
      </c>
      <c r="B307">
        <v>96561.663999098499</v>
      </c>
      <c r="C307">
        <v>1914315097486</v>
      </c>
      <c r="D307">
        <v>29084371911</v>
      </c>
    </row>
    <row r="308" spans="1:4" x14ac:dyDescent="0.35">
      <c r="A308" t="s">
        <v>312</v>
      </c>
      <c r="B308">
        <v>97488.481485364566</v>
      </c>
      <c r="C308">
        <v>1931656846871</v>
      </c>
      <c r="D308">
        <v>32289906945</v>
      </c>
    </row>
    <row r="309" spans="1:4" x14ac:dyDescent="0.35">
      <c r="A309" t="s">
        <v>313</v>
      </c>
      <c r="B309">
        <v>97569.951694304647</v>
      </c>
      <c r="C309">
        <v>1934308378710</v>
      </c>
      <c r="D309">
        <v>14215311318</v>
      </c>
    </row>
    <row r="310" spans="1:4" x14ac:dyDescent="0.35">
      <c r="A310" t="s">
        <v>314</v>
      </c>
      <c r="B310">
        <v>96149.3484548204</v>
      </c>
      <c r="C310">
        <v>1905012222220</v>
      </c>
      <c r="D310">
        <v>13634794999</v>
      </c>
    </row>
    <row r="311" spans="1:4" x14ac:dyDescent="0.35">
      <c r="A311" t="s">
        <v>315</v>
      </c>
      <c r="B311">
        <v>95776.15723852723</v>
      </c>
      <c r="C311">
        <v>1898997753782</v>
      </c>
      <c r="D311">
        <v>25324374113</v>
      </c>
    </row>
    <row r="312" spans="1:4" x14ac:dyDescent="0.35">
      <c r="A312" t="s">
        <v>316</v>
      </c>
      <c r="B312">
        <v>95495.891532992871</v>
      </c>
      <c r="C312">
        <v>1892702154845</v>
      </c>
      <c r="D312">
        <v>38311133145</v>
      </c>
    </row>
    <row r="313" spans="1:4" x14ac:dyDescent="0.35">
      <c r="A313" t="s">
        <v>317</v>
      </c>
      <c r="B313">
        <v>96554.871562592845</v>
      </c>
      <c r="C313">
        <v>1914337919660</v>
      </c>
      <c r="D313">
        <v>27703222487</v>
      </c>
    </row>
    <row r="314" spans="1:4" x14ac:dyDescent="0.35">
      <c r="A314" t="s">
        <v>318</v>
      </c>
      <c r="B314">
        <v>98384.31738240314</v>
      </c>
      <c r="C314">
        <v>1950376106325</v>
      </c>
      <c r="D314">
        <v>24175261970</v>
      </c>
    </row>
    <row r="315" spans="1:4" x14ac:dyDescent="0.35">
      <c r="A315" t="s">
        <v>319</v>
      </c>
      <c r="B315">
        <v>96135.155413052853</v>
      </c>
      <c r="C315">
        <v>1906058197506</v>
      </c>
      <c r="D315">
        <v>42477472951</v>
      </c>
    </row>
    <row r="316" spans="1:4" x14ac:dyDescent="0.35">
      <c r="A316" t="s">
        <v>320</v>
      </c>
      <c r="B316">
        <v>96564.154142902349</v>
      </c>
      <c r="C316">
        <v>1915260330871</v>
      </c>
      <c r="D316">
        <v>18464415571</v>
      </c>
    </row>
    <row r="317" spans="1:4" x14ac:dyDescent="0.35">
      <c r="A317" t="s">
        <v>321</v>
      </c>
      <c r="B317">
        <v>96327.463091278347</v>
      </c>
      <c r="C317">
        <v>1909625674815</v>
      </c>
      <c r="D317">
        <v>16643044375</v>
      </c>
    </row>
    <row r="318" spans="1:4" x14ac:dyDescent="0.35">
      <c r="A318" t="s">
        <v>322</v>
      </c>
      <c r="B318">
        <v>91396.766869302664</v>
      </c>
      <c r="C318">
        <v>1814176779160</v>
      </c>
      <c r="D318">
        <v>45539703844</v>
      </c>
    </row>
    <row r="319" spans="1:4" x14ac:dyDescent="0.35">
      <c r="A319" t="s">
        <v>323</v>
      </c>
      <c r="B319">
        <v>88755.7693356979</v>
      </c>
      <c r="C319">
        <v>1759750360550</v>
      </c>
      <c r="D319">
        <v>96742453403</v>
      </c>
    </row>
    <row r="320" spans="1:4" x14ac:dyDescent="0.35">
      <c r="A320" t="s">
        <v>324</v>
      </c>
      <c r="B320">
        <v>83900.114965248387</v>
      </c>
      <c r="C320">
        <v>1664314955448</v>
      </c>
      <c r="D320">
        <v>69277430796</v>
      </c>
    </row>
    <row r="321" spans="1:4" x14ac:dyDescent="0.35">
      <c r="A321" t="s">
        <v>325</v>
      </c>
      <c r="B321">
        <v>84709.144778479647</v>
      </c>
      <c r="C321">
        <v>1679555320077</v>
      </c>
      <c r="D321">
        <v>305190442157</v>
      </c>
    </row>
    <row r="322" spans="1:4" x14ac:dyDescent="0.35">
      <c r="A322" t="s">
        <v>326</v>
      </c>
      <c r="B322">
        <v>84441.901223713096</v>
      </c>
      <c r="C322">
        <v>1674754437110</v>
      </c>
      <c r="D322">
        <v>80695237175</v>
      </c>
    </row>
    <row r="323" spans="1:4" x14ac:dyDescent="0.35">
      <c r="A323" t="s">
        <v>327</v>
      </c>
      <c r="B323">
        <v>86005.256296810185</v>
      </c>
      <c r="C323">
        <v>1705564098301</v>
      </c>
      <c r="D323">
        <v>30634474723</v>
      </c>
    </row>
    <row r="324" spans="1:4" x14ac:dyDescent="0.35">
      <c r="A324" t="s">
        <v>328</v>
      </c>
      <c r="B324">
        <v>94261.53286538439</v>
      </c>
      <c r="C324">
        <v>1868321705444</v>
      </c>
      <c r="D324">
        <v>61859112551</v>
      </c>
    </row>
    <row r="325" spans="1:4" x14ac:dyDescent="0.35">
      <c r="A325" t="s">
        <v>329</v>
      </c>
      <c r="B325">
        <v>86124.714187221747</v>
      </c>
      <c r="C325">
        <v>1708198960874</v>
      </c>
      <c r="D325">
        <v>68715362745</v>
      </c>
    </row>
    <row r="326" spans="1:4" x14ac:dyDescent="0.35">
      <c r="A326" t="s">
        <v>330</v>
      </c>
      <c r="B326">
        <v>87310.805310782947</v>
      </c>
      <c r="C326">
        <v>1731441668070</v>
      </c>
      <c r="D326">
        <v>65863356680</v>
      </c>
    </row>
    <row r="327" spans="1:4" x14ac:dyDescent="0.35">
      <c r="A327" t="s">
        <v>331</v>
      </c>
      <c r="B327">
        <v>90604.080985236375</v>
      </c>
      <c r="C327">
        <v>1797706868228</v>
      </c>
      <c r="D327">
        <v>51606642860</v>
      </c>
    </row>
    <row r="328" spans="1:4" x14ac:dyDescent="0.35">
      <c r="A328" t="s">
        <v>332</v>
      </c>
      <c r="B328">
        <v>90001.400876070416</v>
      </c>
      <c r="C328">
        <v>1782785866812</v>
      </c>
      <c r="D328">
        <v>47555759125</v>
      </c>
    </row>
    <row r="329" spans="1:4" x14ac:dyDescent="0.35">
      <c r="A329" t="s">
        <v>333</v>
      </c>
      <c r="B329">
        <v>86773.335975553709</v>
      </c>
      <c r="C329">
        <v>1720436931689</v>
      </c>
      <c r="D329">
        <v>63216440875</v>
      </c>
    </row>
    <row r="330" spans="1:4" x14ac:dyDescent="0.35">
      <c r="A330" t="s">
        <v>334</v>
      </c>
      <c r="B330">
        <v>86142.983358643207</v>
      </c>
      <c r="C330">
        <v>1708605516770</v>
      </c>
      <c r="D330">
        <v>18809360803</v>
      </c>
    </row>
    <row r="331" spans="1:4" x14ac:dyDescent="0.35">
      <c r="A331" t="s">
        <v>335</v>
      </c>
      <c r="B331">
        <v>80751.138933008973</v>
      </c>
      <c r="C331">
        <v>1602073794580</v>
      </c>
      <c r="D331">
        <v>32013406241</v>
      </c>
    </row>
    <row r="332" spans="1:4" x14ac:dyDescent="0.35">
      <c r="A332" t="s">
        <v>336</v>
      </c>
      <c r="B332">
        <v>78783.940579342627</v>
      </c>
      <c r="C332">
        <v>1563547150148</v>
      </c>
      <c r="D332">
        <v>49983692766</v>
      </c>
    </row>
    <row r="333" spans="1:4" x14ac:dyDescent="0.35">
      <c r="A333" t="s">
        <v>337</v>
      </c>
      <c r="B333">
        <v>82799.108029205294</v>
      </c>
      <c r="C333">
        <v>1642997419532</v>
      </c>
      <c r="D333">
        <v>56404462275</v>
      </c>
    </row>
    <row r="334" spans="1:4" x14ac:dyDescent="0.35">
      <c r="A334" t="s">
        <v>338</v>
      </c>
      <c r="B334">
        <v>83884.245788289874</v>
      </c>
      <c r="C334">
        <v>1662502658718</v>
      </c>
      <c r="D334">
        <v>41782186209</v>
      </c>
    </row>
    <row r="335" spans="1:4" x14ac:dyDescent="0.35">
      <c r="A335" t="s">
        <v>339</v>
      </c>
      <c r="B335">
        <v>81098.900524362281</v>
      </c>
      <c r="C335">
        <v>1608477373718</v>
      </c>
      <c r="D335">
        <v>32583592655</v>
      </c>
    </row>
    <row r="336" spans="1:4" x14ac:dyDescent="0.35">
      <c r="A336" t="s">
        <v>340</v>
      </c>
      <c r="B336">
        <v>83971.709160646278</v>
      </c>
      <c r="C336">
        <v>1665725559906</v>
      </c>
      <c r="D336">
        <v>28571483950</v>
      </c>
    </row>
    <row r="337" spans="1:4" x14ac:dyDescent="0.35">
      <c r="A337" t="s">
        <v>341</v>
      </c>
      <c r="B337">
        <v>84391.690876471679</v>
      </c>
      <c r="C337">
        <v>1674173293916</v>
      </c>
      <c r="D337">
        <v>10761796127</v>
      </c>
    </row>
    <row r="338" spans="1:4" x14ac:dyDescent="0.35">
      <c r="A338" t="s">
        <v>342</v>
      </c>
      <c r="B338">
        <v>82610.617503439164</v>
      </c>
      <c r="C338">
        <v>1638672153484</v>
      </c>
      <c r="D338">
        <v>21638031633</v>
      </c>
    </row>
    <row r="339" spans="1:4" x14ac:dyDescent="0.35">
      <c r="A339" t="s">
        <v>343</v>
      </c>
      <c r="B339">
        <v>84075.365596944714</v>
      </c>
      <c r="C339">
        <v>1667799227887</v>
      </c>
      <c r="D339">
        <v>19659366247</v>
      </c>
    </row>
    <row r="340" spans="1:4" x14ac:dyDescent="0.35">
      <c r="A340" t="s">
        <v>344</v>
      </c>
      <c r="B340">
        <v>82780.030486882708</v>
      </c>
      <c r="C340">
        <v>1642578274106</v>
      </c>
      <c r="D340">
        <v>24557570269</v>
      </c>
    </row>
    <row r="341" spans="1:4" x14ac:dyDescent="0.35">
      <c r="A341" t="s">
        <v>345</v>
      </c>
      <c r="B341">
        <v>86815.44109470697</v>
      </c>
      <c r="C341">
        <v>1721565138141</v>
      </c>
      <c r="D341">
        <v>33871216993</v>
      </c>
    </row>
    <row r="342" spans="1:4" x14ac:dyDescent="0.35">
      <c r="A342" t="s">
        <v>346</v>
      </c>
      <c r="B342">
        <v>84270.843589662327</v>
      </c>
      <c r="C342">
        <v>1672550706503</v>
      </c>
      <c r="D342">
        <v>27579127651</v>
      </c>
    </row>
    <row r="343" spans="1:4" x14ac:dyDescent="0.35">
      <c r="A343" t="s">
        <v>347</v>
      </c>
      <c r="B343">
        <v>84009.532917821998</v>
      </c>
      <c r="C343">
        <v>1666749159154</v>
      </c>
      <c r="D343">
        <v>18091004976</v>
      </c>
    </row>
    <row r="344" spans="1:4" x14ac:dyDescent="0.35">
      <c r="A344" t="s">
        <v>348</v>
      </c>
      <c r="B344">
        <v>83793.308541925508</v>
      </c>
      <c r="C344">
        <v>1662574363664</v>
      </c>
      <c r="D344">
        <v>7771134682</v>
      </c>
    </row>
    <row r="345" spans="1:4" x14ac:dyDescent="0.35">
      <c r="A345" t="s">
        <v>349</v>
      </c>
      <c r="B345">
        <v>85787.709149017726</v>
      </c>
      <c r="C345">
        <v>1702009594329</v>
      </c>
      <c r="D345">
        <v>12617587531</v>
      </c>
    </row>
    <row r="346" spans="1:4" x14ac:dyDescent="0.35">
      <c r="A346" t="s">
        <v>350</v>
      </c>
      <c r="B346">
        <v>87327.729696690847</v>
      </c>
      <c r="C346">
        <v>1732715331970</v>
      </c>
      <c r="D346">
        <v>27270889835</v>
      </c>
    </row>
    <row r="347" spans="1:4" x14ac:dyDescent="0.35">
      <c r="A347" t="s">
        <v>351</v>
      </c>
      <c r="B347">
        <v>87520.583915305629</v>
      </c>
      <c r="C347">
        <v>1735368473904</v>
      </c>
      <c r="D347">
        <v>30351832943</v>
      </c>
    </row>
    <row r="348" spans="1:4" x14ac:dyDescent="0.35">
      <c r="A348" t="s">
        <v>352</v>
      </c>
      <c r="B348">
        <v>86960.855549103901</v>
      </c>
      <c r="C348">
        <v>1724854479046</v>
      </c>
      <c r="D348">
        <v>25522877559</v>
      </c>
    </row>
    <row r="349" spans="1:4" x14ac:dyDescent="0.35">
      <c r="A349" t="s">
        <v>353</v>
      </c>
      <c r="B349">
        <v>87227.271580323708</v>
      </c>
      <c r="C349">
        <v>1729729987159</v>
      </c>
      <c r="D349">
        <v>24620445368</v>
      </c>
    </row>
    <row r="350" spans="1:4" x14ac:dyDescent="0.35">
      <c r="A350" t="s">
        <v>354</v>
      </c>
      <c r="B350">
        <v>84359.469155060055</v>
      </c>
      <c r="C350">
        <v>1673182800974</v>
      </c>
      <c r="D350">
        <v>31674486232</v>
      </c>
    </row>
    <row r="351" spans="1:4" x14ac:dyDescent="0.35">
      <c r="A351" t="s">
        <v>355</v>
      </c>
      <c r="B351">
        <v>82679.172553850469</v>
      </c>
      <c r="C351">
        <v>1640665503855</v>
      </c>
      <c r="D351">
        <v>16837439420</v>
      </c>
    </row>
    <row r="352" spans="1:4" x14ac:dyDescent="0.35">
      <c r="A352" t="s">
        <v>356</v>
      </c>
      <c r="B352">
        <v>82356.38111183756</v>
      </c>
      <c r="C352">
        <v>1633996304187</v>
      </c>
      <c r="D352">
        <v>13428975108</v>
      </c>
    </row>
    <row r="353" spans="1:6" x14ac:dyDescent="0.35">
      <c r="A353" t="s">
        <v>357</v>
      </c>
      <c r="B353">
        <v>82514.093653978489</v>
      </c>
      <c r="C353">
        <v>1635076581047</v>
      </c>
      <c r="D353">
        <v>30326148750</v>
      </c>
    </row>
    <row r="354" spans="1:6" x14ac:dyDescent="0.35">
      <c r="A354" t="s">
        <v>358</v>
      </c>
      <c r="B354">
        <v>85237.587605285196</v>
      </c>
      <c r="C354">
        <v>1690602036035</v>
      </c>
      <c r="D354">
        <v>29172899852</v>
      </c>
    </row>
    <row r="355" spans="1:6" x14ac:dyDescent="0.35">
      <c r="A355" t="s">
        <v>359</v>
      </c>
      <c r="B355">
        <v>82526.422152643296</v>
      </c>
      <c r="C355">
        <v>1637358764747</v>
      </c>
      <c r="D355">
        <v>46332905658</v>
      </c>
    </row>
    <row r="356" spans="1:6" x14ac:dyDescent="0.35">
      <c r="A356" t="s">
        <v>360</v>
      </c>
      <c r="B356">
        <v>83163.98757387721</v>
      </c>
      <c r="C356">
        <v>1652537223075</v>
      </c>
      <c r="D356">
        <v>36594464539</v>
      </c>
    </row>
    <row r="357" spans="1:6" x14ac:dyDescent="0.35">
      <c r="A357" t="s">
        <v>361</v>
      </c>
      <c r="B357">
        <v>83852.007653995941</v>
      </c>
      <c r="C357">
        <v>1664234880198</v>
      </c>
      <c r="D357">
        <v>35647289400</v>
      </c>
    </row>
    <row r="358" spans="1:6" x14ac:dyDescent="0.35">
      <c r="A358" t="s">
        <v>362</v>
      </c>
      <c r="B358">
        <v>83595.88550177493</v>
      </c>
      <c r="C358">
        <v>1656020067997</v>
      </c>
      <c r="D358">
        <v>14910400036</v>
      </c>
    </row>
    <row r="359" spans="1:6" x14ac:dyDescent="0.35">
      <c r="A359" t="s">
        <v>363</v>
      </c>
      <c r="B359">
        <v>78211.483581999884</v>
      </c>
      <c r="C359">
        <v>1555325260787</v>
      </c>
      <c r="D359">
        <v>36140377232</v>
      </c>
    </row>
    <row r="360" spans="1:6" x14ac:dyDescent="0.35">
      <c r="A360" t="s">
        <v>364</v>
      </c>
      <c r="B360">
        <v>79179.292267577781</v>
      </c>
      <c r="C360">
        <v>1581407565278</v>
      </c>
      <c r="D360">
        <v>82909748173</v>
      </c>
    </row>
    <row r="361" spans="1:6" x14ac:dyDescent="0.35">
      <c r="A361" t="s">
        <v>365</v>
      </c>
      <c r="B361">
        <v>76329.090356323999</v>
      </c>
      <c r="C361">
        <v>1515042499757</v>
      </c>
      <c r="D361">
        <v>47812787635</v>
      </c>
    </row>
    <row r="362" spans="1:6" x14ac:dyDescent="0.35">
      <c r="A362" t="s">
        <v>366</v>
      </c>
      <c r="B362">
        <v>82622.170295463016</v>
      </c>
      <c r="C362">
        <v>1640567909122</v>
      </c>
      <c r="D362">
        <v>87408220482</v>
      </c>
    </row>
    <row r="363" spans="1:6" x14ac:dyDescent="0.35">
      <c r="A363" t="s">
        <v>367</v>
      </c>
      <c r="B363">
        <v>79596.357322507683</v>
      </c>
      <c r="C363">
        <v>1580023209138</v>
      </c>
      <c r="D363">
        <v>41213520154</v>
      </c>
    </row>
    <row r="364" spans="1:6" x14ac:dyDescent="0.35">
      <c r="A364" t="s">
        <v>368</v>
      </c>
      <c r="B364">
        <v>83439.288180437565</v>
      </c>
      <c r="C364">
        <v>1655868880454</v>
      </c>
      <c r="D364">
        <v>39813566444</v>
      </c>
    </row>
    <row r="366" spans="1:6" x14ac:dyDescent="0.35">
      <c r="E366" t="s">
        <v>376</v>
      </c>
      <c r="F366">
        <f>AVERAGE(B2:B364)</f>
        <v>76265.766642280811</v>
      </c>
    </row>
    <row r="367" spans="1:6" x14ac:dyDescent="0.35">
      <c r="E367" t="s">
        <v>375</v>
      </c>
      <c r="F367">
        <f>SUM(D2:D364)</f>
        <v>15269189008061</v>
      </c>
    </row>
    <row r="368" spans="1:6" x14ac:dyDescent="0.35">
      <c r="E368" t="s">
        <v>377</v>
      </c>
      <c r="F368">
        <f>(B364-B2)/B2</f>
        <v>0.26898726409591139</v>
      </c>
    </row>
    <row r="369" spans="5:6" x14ac:dyDescent="0.35">
      <c r="E369" t="s">
        <v>378</v>
      </c>
      <c r="F369">
        <f>MAX(B2:B364)</f>
        <v>106182.2368201815</v>
      </c>
    </row>
    <row r="370" spans="5:6" x14ac:dyDescent="0.35">
      <c r="E370" t="s">
        <v>379</v>
      </c>
      <c r="F370">
        <f>MIN(B2:B364)</f>
        <v>53923.356110719047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EC66-D628-4700-8C1D-D3F0FE994744}">
  <dimension ref="A1:F370"/>
  <sheetViews>
    <sheetView tabSelected="1" topLeftCell="A355" workbookViewId="0">
      <selection activeCell="E366" sqref="E366:F370"/>
    </sheetView>
  </sheetViews>
  <sheetFormatPr defaultRowHeight="14.5" x14ac:dyDescent="0.35"/>
  <cols>
    <col min="1" max="1" width="21.6328125" bestFit="1" customWidth="1"/>
    <col min="2" max="2" width="11.81640625" bestFit="1" customWidth="1"/>
    <col min="3" max="3" width="12.90625" bestFit="1" customWidth="1"/>
    <col min="4" max="4" width="13.90625" bestFit="1" customWidth="1"/>
  </cols>
  <sheetData>
    <row r="1" spans="1:4" x14ac:dyDescent="0.35">
      <c r="A1" t="s">
        <v>369</v>
      </c>
      <c r="B1" t="s">
        <v>371</v>
      </c>
      <c r="C1" t="s">
        <v>370</v>
      </c>
      <c r="D1" t="s">
        <v>5</v>
      </c>
    </row>
    <row r="2" spans="1:4" x14ac:dyDescent="0.35">
      <c r="A2" t="s">
        <v>6</v>
      </c>
      <c r="B2">
        <v>3157.6837658277959</v>
      </c>
      <c r="C2">
        <v>379419782687.94165</v>
      </c>
      <c r="D2">
        <v>26426482425.143723</v>
      </c>
    </row>
    <row r="3" spans="1:4" x14ac:dyDescent="0.35">
      <c r="A3" t="s">
        <v>7</v>
      </c>
      <c r="B3">
        <v>3101.1907356747711</v>
      </c>
      <c r="C3">
        <v>372249695864.17804</v>
      </c>
      <c r="D3">
        <v>23408068977.225063</v>
      </c>
    </row>
    <row r="4" spans="1:4" x14ac:dyDescent="0.35">
      <c r="A4" t="s">
        <v>8</v>
      </c>
      <c r="B4">
        <v>3083.7060147660673</v>
      </c>
      <c r="C4">
        <v>370234131392.06561</v>
      </c>
      <c r="D4">
        <v>19716139064.539349</v>
      </c>
    </row>
    <row r="5" spans="1:4" x14ac:dyDescent="0.35">
      <c r="A5" t="s">
        <v>9</v>
      </c>
      <c r="B5">
        <v>2982.6157347097997</v>
      </c>
      <c r="C5">
        <v>358157898515.81726</v>
      </c>
      <c r="D5">
        <v>18555883608.901867</v>
      </c>
    </row>
    <row r="6" spans="1:4" x14ac:dyDescent="0.35">
      <c r="A6" t="s">
        <v>10</v>
      </c>
      <c r="B6">
        <v>3064.9115922294277</v>
      </c>
      <c r="C6">
        <v>368394773234.48999</v>
      </c>
      <c r="D6">
        <v>15776619346.387112</v>
      </c>
    </row>
    <row r="7" spans="1:4" x14ac:dyDescent="0.35">
      <c r="A7" t="s">
        <v>11</v>
      </c>
      <c r="B7">
        <v>3065.6825615659068</v>
      </c>
      <c r="C7">
        <v>368924952677.78748</v>
      </c>
      <c r="D7">
        <v>21398170387.280201</v>
      </c>
    </row>
    <row r="8" spans="1:4" x14ac:dyDescent="0.35">
      <c r="A8" t="s">
        <v>12</v>
      </c>
      <c r="B8">
        <v>3152.1915066519473</v>
      </c>
      <c r="C8">
        <v>378601475454.50421</v>
      </c>
      <c r="D8">
        <v>9245604715.5433121</v>
      </c>
    </row>
    <row r="9" spans="1:4" x14ac:dyDescent="0.35">
      <c r="A9" t="s">
        <v>13</v>
      </c>
      <c r="B9">
        <v>3147.13775429932</v>
      </c>
      <c r="C9">
        <v>377835271557.19537</v>
      </c>
      <c r="D9">
        <v>9264213264.2534924</v>
      </c>
    </row>
    <row r="10" spans="1:4" x14ac:dyDescent="0.35">
      <c r="A10" t="s">
        <v>14</v>
      </c>
      <c r="B10">
        <v>3199.7695898940692</v>
      </c>
      <c r="C10">
        <v>384466906716.16833</v>
      </c>
      <c r="D10">
        <v>12101339610.341021</v>
      </c>
    </row>
    <row r="11" spans="1:4" x14ac:dyDescent="0.35">
      <c r="A11" t="s">
        <v>15</v>
      </c>
      <c r="B11">
        <v>3218.9672686428075</v>
      </c>
      <c r="C11">
        <v>392775107740.51331</v>
      </c>
      <c r="D11">
        <v>11111254140.889095</v>
      </c>
    </row>
    <row r="12" spans="1:4" x14ac:dyDescent="0.35">
      <c r="A12" t="s">
        <v>16</v>
      </c>
      <c r="B12">
        <v>3138.8143570094021</v>
      </c>
      <c r="C12">
        <v>383068563917.34229</v>
      </c>
      <c r="D12">
        <v>14931662515.529316</v>
      </c>
    </row>
    <row r="13" spans="1:4" x14ac:dyDescent="0.35">
      <c r="A13" t="s">
        <v>17</v>
      </c>
      <c r="B13">
        <v>3157.6193174815944</v>
      </c>
      <c r="C13">
        <v>385360500023.0152</v>
      </c>
      <c r="D13">
        <v>14827151368.902559</v>
      </c>
    </row>
    <row r="14" spans="1:4" x14ac:dyDescent="0.35">
      <c r="A14" t="s">
        <v>18</v>
      </c>
      <c r="B14">
        <v>3131.4192197400516</v>
      </c>
      <c r="C14">
        <v>381832436730.7926</v>
      </c>
      <c r="D14">
        <v>11150981612.611172</v>
      </c>
    </row>
    <row r="15" spans="1:4" x14ac:dyDescent="0.35">
      <c r="A15" t="s">
        <v>19</v>
      </c>
      <c r="B15">
        <v>3259.2522227654413</v>
      </c>
      <c r="C15">
        <v>397162781507.14001</v>
      </c>
      <c r="D15">
        <v>12739849720.355131</v>
      </c>
    </row>
    <row r="16" spans="1:4" x14ac:dyDescent="0.35">
      <c r="A16" t="s">
        <v>20</v>
      </c>
      <c r="B16">
        <v>3259.5034042560328</v>
      </c>
      <c r="C16">
        <v>398637824441.87598</v>
      </c>
      <c r="D16">
        <v>10786187404.455635</v>
      </c>
    </row>
    <row r="17" spans="1:4" x14ac:dyDescent="0.35">
      <c r="A17" t="s">
        <v>21</v>
      </c>
      <c r="B17">
        <v>3213.6890004948136</v>
      </c>
      <c r="C17">
        <v>392350038771.61163</v>
      </c>
      <c r="D17">
        <v>15480798749.513744</v>
      </c>
    </row>
    <row r="18" spans="1:4" x14ac:dyDescent="0.35">
      <c r="A18" t="s">
        <v>22</v>
      </c>
      <c r="B18">
        <v>3018.5496358778182</v>
      </c>
      <c r="C18">
        <v>368786372970.94403</v>
      </c>
      <c r="D18">
        <v>19251155949.751816</v>
      </c>
    </row>
    <row r="19" spans="1:4" x14ac:dyDescent="0.35">
      <c r="A19" t="s">
        <v>23</v>
      </c>
      <c r="B19">
        <v>2976.0902075157046</v>
      </c>
      <c r="C19">
        <v>364276973974.75342</v>
      </c>
      <c r="D19">
        <v>22064350438.409042</v>
      </c>
    </row>
    <row r="20" spans="1:4" x14ac:dyDescent="0.35">
      <c r="A20" t="s">
        <v>24</v>
      </c>
      <c r="B20">
        <v>2988.5486490452654</v>
      </c>
      <c r="C20">
        <v>358796765165.93835</v>
      </c>
      <c r="D20">
        <v>14175880226.413488</v>
      </c>
    </row>
    <row r="21" spans="1:4" x14ac:dyDescent="0.35">
      <c r="A21" t="s">
        <v>25</v>
      </c>
      <c r="B21">
        <v>3102.1512923656555</v>
      </c>
      <c r="C21">
        <v>373187731785.70636</v>
      </c>
      <c r="D21">
        <v>13929437694.673725</v>
      </c>
    </row>
    <row r="22" spans="1:4" x14ac:dyDescent="0.35">
      <c r="A22" t="s">
        <v>26</v>
      </c>
      <c r="B22">
        <v>3115.0233215730136</v>
      </c>
      <c r="C22">
        <v>374188248701.17603</v>
      </c>
      <c r="D22">
        <v>8430889402.2580223</v>
      </c>
    </row>
    <row r="23" spans="1:4" x14ac:dyDescent="0.35">
      <c r="A23" t="s">
        <v>27</v>
      </c>
      <c r="B23">
        <v>3136.5751103904099</v>
      </c>
      <c r="C23">
        <v>376477227799.91949</v>
      </c>
      <c r="D23">
        <v>8027546635.9215527</v>
      </c>
    </row>
    <row r="24" spans="1:4" x14ac:dyDescent="0.35">
      <c r="A24" t="s">
        <v>28</v>
      </c>
      <c r="B24">
        <v>3064.5913995603364</v>
      </c>
      <c r="C24">
        <v>368312963227.33984</v>
      </c>
      <c r="D24">
        <v>13196102657.36935</v>
      </c>
    </row>
    <row r="25" spans="1:4" x14ac:dyDescent="0.35">
      <c r="A25" t="s">
        <v>29</v>
      </c>
      <c r="B25">
        <v>3015.1597696166846</v>
      </c>
      <c r="C25">
        <v>362686607634.315</v>
      </c>
      <c r="D25">
        <v>11727252097.462042</v>
      </c>
    </row>
    <row r="26" spans="1:4" x14ac:dyDescent="0.35">
      <c r="A26" t="s">
        <v>30</v>
      </c>
      <c r="B26">
        <v>2975.7269660652901</v>
      </c>
      <c r="C26">
        <v>357038251698.12964</v>
      </c>
      <c r="D26">
        <v>10555086522.407984</v>
      </c>
    </row>
    <row r="27" spans="1:4" x14ac:dyDescent="0.35">
      <c r="A27" t="s">
        <v>31</v>
      </c>
      <c r="B27">
        <v>3038.3447046668207</v>
      </c>
      <c r="C27">
        <v>364426702625.02203</v>
      </c>
      <c r="D27">
        <v>10961137747.243969</v>
      </c>
    </row>
    <row r="28" spans="1:4" x14ac:dyDescent="0.35">
      <c r="A28" t="s">
        <v>32</v>
      </c>
      <c r="B28">
        <v>2910.6845000174749</v>
      </c>
      <c r="C28">
        <v>349622946794.7746</v>
      </c>
      <c r="D28">
        <v>12185177562.182381</v>
      </c>
    </row>
    <row r="29" spans="1:4" x14ac:dyDescent="0.35">
      <c r="A29" t="s">
        <v>33</v>
      </c>
      <c r="B29">
        <v>2908.9827849031903</v>
      </c>
      <c r="C29">
        <v>349391330491.67987</v>
      </c>
      <c r="D29">
        <v>6479337783.261837</v>
      </c>
    </row>
    <row r="30" spans="1:4" x14ac:dyDescent="0.35">
      <c r="A30" t="s">
        <v>34</v>
      </c>
      <c r="B30">
        <v>2931.3106669139133</v>
      </c>
      <c r="C30">
        <v>352120009302.88397</v>
      </c>
      <c r="D30">
        <v>5237992152.4421844</v>
      </c>
    </row>
    <row r="31" spans="1:4" x14ac:dyDescent="0.35">
      <c r="A31" t="s">
        <v>35</v>
      </c>
      <c r="B31">
        <v>2948.3034552659406</v>
      </c>
      <c r="C31">
        <v>354155572145.70239</v>
      </c>
      <c r="D31">
        <v>13930280821.074911</v>
      </c>
    </row>
    <row r="32" spans="1:4" x14ac:dyDescent="0.35">
      <c r="A32" t="s">
        <v>36</v>
      </c>
      <c r="B32">
        <v>2881.7959916152945</v>
      </c>
      <c r="C32">
        <v>346305956691.41315</v>
      </c>
      <c r="D32">
        <v>11258734172.441973</v>
      </c>
    </row>
    <row r="33" spans="1:4" x14ac:dyDescent="0.35">
      <c r="A33" t="s">
        <v>37</v>
      </c>
      <c r="B33">
        <v>3035.758955126304</v>
      </c>
      <c r="C33">
        <v>365225903815.16327</v>
      </c>
      <c r="D33">
        <v>13809709402.135639</v>
      </c>
    </row>
    <row r="34" spans="1:4" x14ac:dyDescent="0.35">
      <c r="A34" t="s">
        <v>38</v>
      </c>
      <c r="B34">
        <v>2943.5851283842208</v>
      </c>
      <c r="C34">
        <v>353501038738.84698</v>
      </c>
      <c r="D34">
        <v>11039599517.596857</v>
      </c>
    </row>
    <row r="35" spans="1:4" x14ac:dyDescent="0.35">
      <c r="A35" t="s">
        <v>39</v>
      </c>
      <c r="B35">
        <v>3095.9968442929658</v>
      </c>
      <c r="C35">
        <v>371220670629.63177</v>
      </c>
      <c r="D35">
        <v>13846325669.567377</v>
      </c>
    </row>
    <row r="36" spans="1:4" x14ac:dyDescent="0.35">
      <c r="A36" t="s">
        <v>40</v>
      </c>
      <c r="B36">
        <v>3120.5493782541066</v>
      </c>
      <c r="C36">
        <v>375206332441.6955</v>
      </c>
      <c r="D36">
        <v>8357435200.2825937</v>
      </c>
    </row>
    <row r="37" spans="1:4" x14ac:dyDescent="0.35">
      <c r="A37" t="s">
        <v>41</v>
      </c>
      <c r="B37">
        <v>3071.3244180937568</v>
      </c>
      <c r="C37">
        <v>368598090418.05402</v>
      </c>
      <c r="D37">
        <v>6983633593.9127846</v>
      </c>
    </row>
    <row r="38" spans="1:4" x14ac:dyDescent="0.35">
      <c r="A38" t="s">
        <v>42</v>
      </c>
      <c r="B38">
        <v>3656.3900902993241</v>
      </c>
      <c r="C38">
        <v>439830728213.12061</v>
      </c>
      <c r="D38">
        <v>27159496889.816044</v>
      </c>
    </row>
    <row r="39" spans="1:4" x14ac:dyDescent="0.35">
      <c r="A39" t="s">
        <v>43</v>
      </c>
      <c r="B39">
        <v>3792.4862202117729</v>
      </c>
      <c r="C39">
        <v>455765526085.79254</v>
      </c>
      <c r="D39">
        <v>37370060267.601532</v>
      </c>
    </row>
    <row r="40" spans="1:4" x14ac:dyDescent="0.35">
      <c r="A40" t="s">
        <v>44</v>
      </c>
      <c r="B40">
        <v>3741.8977405609112</v>
      </c>
      <c r="C40">
        <v>449694006822.55548</v>
      </c>
      <c r="D40">
        <v>24114510372.012993</v>
      </c>
    </row>
    <row r="41" spans="1:4" x14ac:dyDescent="0.35">
      <c r="A41" t="s">
        <v>45</v>
      </c>
      <c r="B41">
        <v>3766.3980913419441</v>
      </c>
      <c r="C41">
        <v>451934122188.91656</v>
      </c>
      <c r="D41">
        <v>46761576029.509094</v>
      </c>
    </row>
    <row r="42" spans="1:4" x14ac:dyDescent="0.35">
      <c r="A42" t="s">
        <v>46</v>
      </c>
      <c r="B42">
        <v>3727.0659815832091</v>
      </c>
      <c r="C42">
        <v>447600344544.24176</v>
      </c>
      <c r="D42">
        <v>20715688665.955757</v>
      </c>
    </row>
    <row r="43" spans="1:4" x14ac:dyDescent="0.35">
      <c r="A43" t="s">
        <v>47</v>
      </c>
      <c r="B43">
        <v>3750.0771593896761</v>
      </c>
      <c r="C43">
        <v>450038598582.0329</v>
      </c>
      <c r="D43">
        <v>8464533427.4249172</v>
      </c>
    </row>
    <row r="44" spans="1:4" x14ac:dyDescent="0.35">
      <c r="A44" t="s">
        <v>48</v>
      </c>
      <c r="B44">
        <v>3825.277957577714</v>
      </c>
      <c r="C44">
        <v>459504483187.03943</v>
      </c>
      <c r="D44">
        <v>10540798421.159782</v>
      </c>
    </row>
    <row r="45" spans="1:4" x14ac:dyDescent="0.35">
      <c r="A45" t="s">
        <v>49</v>
      </c>
      <c r="B45">
        <v>3893.3921058941055</v>
      </c>
      <c r="C45">
        <v>467614044547.03687</v>
      </c>
      <c r="D45">
        <v>15290249260.872213</v>
      </c>
    </row>
    <row r="46" spans="1:4" x14ac:dyDescent="0.35">
      <c r="A46" t="s">
        <v>50</v>
      </c>
      <c r="B46">
        <v>3840.6888604000501</v>
      </c>
      <c r="C46">
        <v>462070810453.6889</v>
      </c>
      <c r="D46">
        <v>18146426007.646515</v>
      </c>
    </row>
    <row r="47" spans="1:4" x14ac:dyDescent="0.35">
      <c r="A47" t="s">
        <v>51</v>
      </c>
      <c r="B47">
        <v>3765.3025567780796</v>
      </c>
      <c r="C47">
        <v>452762636814.41711</v>
      </c>
      <c r="D47">
        <v>15290595277.792278</v>
      </c>
    </row>
    <row r="48" spans="1:4" x14ac:dyDescent="0.35">
      <c r="A48" t="s">
        <v>52</v>
      </c>
      <c r="B48">
        <v>3748.6391523334596</v>
      </c>
      <c r="C48">
        <v>450215609802.77258</v>
      </c>
      <c r="D48">
        <v>13659082592.125811</v>
      </c>
    </row>
    <row r="49" spans="1:4" x14ac:dyDescent="0.35">
      <c r="A49" t="s">
        <v>53</v>
      </c>
      <c r="B49">
        <v>3761.0692456476336</v>
      </c>
      <c r="C49">
        <v>452758719430.44403</v>
      </c>
      <c r="D49">
        <v>12068376838.694778</v>
      </c>
    </row>
    <row r="50" spans="1:4" x14ac:dyDescent="0.35">
      <c r="A50" t="s">
        <v>54</v>
      </c>
      <c r="B50">
        <v>3813.452441559934</v>
      </c>
      <c r="C50">
        <v>457995091024.95563</v>
      </c>
      <c r="D50">
        <v>7216291113.1181564</v>
      </c>
    </row>
    <row r="51" spans="1:4" x14ac:dyDescent="0.35">
      <c r="A51" t="s">
        <v>55</v>
      </c>
      <c r="B51">
        <v>3780.7119847349145</v>
      </c>
      <c r="C51">
        <v>454304865087.93256</v>
      </c>
      <c r="D51">
        <v>9915137834.269558</v>
      </c>
    </row>
    <row r="52" spans="1:4" x14ac:dyDescent="0.35">
      <c r="A52" t="s">
        <v>56</v>
      </c>
      <c r="B52">
        <v>3766.6376499412618</v>
      </c>
      <c r="C52">
        <v>452084974218.36816</v>
      </c>
      <c r="D52">
        <v>12609351903.623407</v>
      </c>
    </row>
    <row r="53" spans="1:4" x14ac:dyDescent="0.35">
      <c r="A53" t="s">
        <v>57</v>
      </c>
      <c r="B53">
        <v>3814.9320301464982</v>
      </c>
      <c r="C53">
        <v>458132490211.60803</v>
      </c>
      <c r="D53">
        <v>11652766019.496792</v>
      </c>
    </row>
    <row r="54" spans="1:4" x14ac:dyDescent="0.35">
      <c r="A54" t="s">
        <v>58</v>
      </c>
      <c r="B54">
        <v>3871.0820906216727</v>
      </c>
      <c r="C54">
        <v>464211497547.67108</v>
      </c>
      <c r="D54">
        <v>12871943841.967451</v>
      </c>
    </row>
    <row r="55" spans="1:4" x14ac:dyDescent="0.35">
      <c r="A55" t="s">
        <v>59</v>
      </c>
      <c r="B55">
        <v>3812.701856549199</v>
      </c>
      <c r="C55">
        <v>458058824868.56317</v>
      </c>
      <c r="D55">
        <v>11650774701.467743</v>
      </c>
    </row>
    <row r="56" spans="1:4" x14ac:dyDescent="0.35">
      <c r="A56" t="s">
        <v>60</v>
      </c>
      <c r="B56">
        <v>3679.3766523741783</v>
      </c>
      <c r="C56">
        <v>442056588562.99768</v>
      </c>
      <c r="D56">
        <v>16199024684.298843</v>
      </c>
    </row>
    <row r="57" spans="1:4" x14ac:dyDescent="0.35">
      <c r="A57" t="s">
        <v>61</v>
      </c>
      <c r="B57">
        <v>3683.0253801346485</v>
      </c>
      <c r="C57">
        <v>442391279529.5943</v>
      </c>
      <c r="D57">
        <v>7575768941.6865129</v>
      </c>
    </row>
    <row r="58" spans="1:4" x14ac:dyDescent="0.35">
      <c r="A58" t="s">
        <v>62</v>
      </c>
      <c r="B58">
        <v>3705.8998844045504</v>
      </c>
      <c r="C58">
        <v>445276601430.44238</v>
      </c>
      <c r="D58">
        <v>6301031436.9139414</v>
      </c>
    </row>
    <row r="59" spans="1:4" x14ac:dyDescent="0.35">
      <c r="A59" t="s">
        <v>63</v>
      </c>
      <c r="B59">
        <v>3666.8276647258203</v>
      </c>
      <c r="C59">
        <v>440506095151.89038</v>
      </c>
      <c r="D59">
        <v>8786880926.5371399</v>
      </c>
    </row>
    <row r="60" spans="1:4" x14ac:dyDescent="0.35">
      <c r="A60" t="s">
        <v>64</v>
      </c>
      <c r="B60">
        <v>3498.5559542215797</v>
      </c>
      <c r="C60">
        <v>420251663393.7583</v>
      </c>
      <c r="D60">
        <v>19621933421.922371</v>
      </c>
    </row>
    <row r="61" spans="1:4" x14ac:dyDescent="0.35">
      <c r="A61" t="s">
        <v>65</v>
      </c>
      <c r="B61">
        <v>3559.4475336257624</v>
      </c>
      <c r="C61">
        <v>427834174694.1308</v>
      </c>
      <c r="D61">
        <v>16798065224.846418</v>
      </c>
    </row>
    <row r="62" spans="1:4" x14ac:dyDescent="0.35">
      <c r="A62" t="s">
        <v>66</v>
      </c>
      <c r="B62">
        <v>3465.316584199481</v>
      </c>
      <c r="C62">
        <v>417151499335.36877</v>
      </c>
      <c r="D62">
        <v>14257587847.282923</v>
      </c>
    </row>
    <row r="63" spans="1:4" x14ac:dyDescent="0.35">
      <c r="A63" t="s">
        <v>67</v>
      </c>
      <c r="B63">
        <v>3478.7748349889234</v>
      </c>
      <c r="C63">
        <v>418279823088.94983</v>
      </c>
      <c r="D63">
        <v>14164619768.518377</v>
      </c>
    </row>
    <row r="64" spans="1:4" x14ac:dyDescent="0.35">
      <c r="A64" t="s">
        <v>68</v>
      </c>
      <c r="B64">
        <v>3565.1232591862595</v>
      </c>
      <c r="C64">
        <v>428318893969.58667</v>
      </c>
      <c r="D64">
        <v>12060524631.965353</v>
      </c>
    </row>
    <row r="65" spans="1:4" x14ac:dyDescent="0.35">
      <c r="A65" t="s">
        <v>69</v>
      </c>
      <c r="B65">
        <v>3618.508652976102</v>
      </c>
      <c r="C65">
        <v>434773902047.79071</v>
      </c>
      <c r="D65">
        <v>8663362158.1452312</v>
      </c>
    </row>
    <row r="66" spans="1:4" x14ac:dyDescent="0.35">
      <c r="A66" t="s">
        <v>70</v>
      </c>
      <c r="B66">
        <v>3510.3586935289036</v>
      </c>
      <c r="C66">
        <v>421162133590.23956</v>
      </c>
      <c r="D66">
        <v>17226962124.000225</v>
      </c>
    </row>
    <row r="67" spans="1:4" x14ac:dyDescent="0.35">
      <c r="A67" t="s">
        <v>71</v>
      </c>
      <c r="B67">
        <v>3480.4713384276088</v>
      </c>
      <c r="C67">
        <v>424951660073.25385</v>
      </c>
      <c r="D67">
        <v>21649791273.213665</v>
      </c>
    </row>
    <row r="68" spans="1:4" x14ac:dyDescent="0.35">
      <c r="A68" t="s">
        <v>72</v>
      </c>
      <c r="B68">
        <v>3555.9658395535403</v>
      </c>
      <c r="C68">
        <v>434492651441.09186</v>
      </c>
      <c r="D68">
        <v>15091044746.842319</v>
      </c>
    </row>
    <row r="69" spans="1:4" x14ac:dyDescent="0.35">
      <c r="A69" t="s">
        <v>73</v>
      </c>
      <c r="B69">
        <v>3511.2848281536799</v>
      </c>
      <c r="C69">
        <v>429570574514.96106</v>
      </c>
      <c r="D69">
        <v>15933137676.283852</v>
      </c>
    </row>
    <row r="70" spans="1:4" x14ac:dyDescent="0.35">
      <c r="A70" t="s">
        <v>74</v>
      </c>
      <c r="B70">
        <v>3516.88098000528</v>
      </c>
      <c r="C70">
        <v>430070452526.12097</v>
      </c>
      <c r="D70">
        <v>16100418805.143234</v>
      </c>
    </row>
    <row r="71" spans="1:4" x14ac:dyDescent="0.35">
      <c r="A71" t="s">
        <v>75</v>
      </c>
      <c r="B71">
        <v>3494.7985621731755</v>
      </c>
      <c r="C71">
        <v>427271533995.02954</v>
      </c>
      <c r="D71">
        <v>6342881010.2697468</v>
      </c>
    </row>
    <row r="72" spans="1:4" x14ac:dyDescent="0.35">
      <c r="A72" t="s">
        <v>76</v>
      </c>
      <c r="B72">
        <v>3417.7971372978254</v>
      </c>
      <c r="C72">
        <v>418002114768.76056</v>
      </c>
      <c r="D72">
        <v>8947881396.0361271</v>
      </c>
    </row>
    <row r="73" spans="1:4" x14ac:dyDescent="0.35">
      <c r="A73" t="s">
        <v>77</v>
      </c>
      <c r="B73">
        <v>3357.1006400727606</v>
      </c>
      <c r="C73">
        <v>402843439308.6059</v>
      </c>
      <c r="D73">
        <v>23589084207.473412</v>
      </c>
    </row>
    <row r="74" spans="1:4" x14ac:dyDescent="0.35">
      <c r="A74" t="s">
        <v>78</v>
      </c>
      <c r="B74">
        <v>3395.304687339692</v>
      </c>
      <c r="C74">
        <v>407935619100.42822</v>
      </c>
      <c r="D74">
        <v>11981602845.529747</v>
      </c>
    </row>
    <row r="75" spans="1:4" x14ac:dyDescent="0.35">
      <c r="A75" t="s">
        <v>79</v>
      </c>
      <c r="B75">
        <v>3365.9446697083863</v>
      </c>
      <c r="C75">
        <v>404420889593.21368</v>
      </c>
      <c r="D75">
        <v>10009281218.932026</v>
      </c>
    </row>
    <row r="76" spans="1:4" x14ac:dyDescent="0.35">
      <c r="A76" t="s">
        <v>80</v>
      </c>
      <c r="B76">
        <v>3442.9101581101249</v>
      </c>
      <c r="C76">
        <v>413911406152.80981</v>
      </c>
      <c r="D76">
        <v>11076955211.879559</v>
      </c>
    </row>
    <row r="77" spans="1:4" x14ac:dyDescent="0.35">
      <c r="A77" t="s">
        <v>81</v>
      </c>
      <c r="B77">
        <v>3374.6051303067916</v>
      </c>
      <c r="C77">
        <v>405590219265.00946</v>
      </c>
      <c r="D77">
        <v>10962843305.829046</v>
      </c>
    </row>
    <row r="78" spans="1:4" x14ac:dyDescent="0.35">
      <c r="A78" t="s">
        <v>82</v>
      </c>
      <c r="B78">
        <v>3371.2782279674611</v>
      </c>
      <c r="C78">
        <v>405186539487.57898</v>
      </c>
      <c r="D78">
        <v>5551997884.5214901</v>
      </c>
    </row>
    <row r="79" spans="1:4" x14ac:dyDescent="0.35">
      <c r="A79" t="s">
        <v>83</v>
      </c>
      <c r="B79">
        <v>3435.3183276337395</v>
      </c>
      <c r="C79">
        <v>412683392973.91058</v>
      </c>
      <c r="D79">
        <v>7498532249.3270121</v>
      </c>
    </row>
    <row r="80" spans="1:4" x14ac:dyDescent="0.35">
      <c r="A80" t="s">
        <v>84</v>
      </c>
      <c r="B80">
        <v>3438.0090789999058</v>
      </c>
      <c r="C80">
        <v>413087026853.55963</v>
      </c>
      <c r="D80">
        <v>11834316021.632442</v>
      </c>
    </row>
    <row r="81" spans="1:4" x14ac:dyDescent="0.35">
      <c r="A81" t="s">
        <v>85</v>
      </c>
      <c r="B81">
        <v>3417.8984255478363</v>
      </c>
      <c r="C81">
        <v>410850514007.59125</v>
      </c>
      <c r="D81">
        <v>8478511086.9452429</v>
      </c>
    </row>
    <row r="82" spans="1:4" x14ac:dyDescent="0.35">
      <c r="A82" t="s">
        <v>86</v>
      </c>
      <c r="B82">
        <v>3295.8084644299788</v>
      </c>
      <c r="C82">
        <v>395971730267.60034</v>
      </c>
      <c r="D82">
        <v>15473856746.245096</v>
      </c>
    </row>
    <row r="83" spans="1:4" x14ac:dyDescent="0.35">
      <c r="A83" t="s">
        <v>87</v>
      </c>
      <c r="B83">
        <v>3069.0434008340803</v>
      </c>
      <c r="C83">
        <v>369571668593.03217</v>
      </c>
      <c r="D83">
        <v>19209988737.688694</v>
      </c>
    </row>
    <row r="84" spans="1:4" x14ac:dyDescent="0.35">
      <c r="A84" t="s">
        <v>88</v>
      </c>
      <c r="B84">
        <v>2984.3981024982641</v>
      </c>
      <c r="C84">
        <v>358878418412.54901</v>
      </c>
      <c r="D84">
        <v>31755421068.593773</v>
      </c>
    </row>
    <row r="85" spans="1:4" x14ac:dyDescent="0.35">
      <c r="A85" t="s">
        <v>89</v>
      </c>
      <c r="B85">
        <v>3066.247437954064</v>
      </c>
      <c r="C85">
        <v>368279414918.99432</v>
      </c>
      <c r="D85">
        <v>9871087552.273798</v>
      </c>
    </row>
    <row r="86" spans="1:4" x14ac:dyDescent="0.35">
      <c r="A86" t="s">
        <v>90</v>
      </c>
      <c r="B86">
        <v>2928.6012310061665</v>
      </c>
      <c r="C86">
        <v>350977454882.58325</v>
      </c>
      <c r="D86">
        <v>10243406181.924892</v>
      </c>
    </row>
    <row r="87" spans="1:4" x14ac:dyDescent="0.35">
      <c r="A87" t="s">
        <v>91</v>
      </c>
      <c r="B87">
        <v>3016.0833537946064</v>
      </c>
      <c r="C87">
        <v>362836336467.41907</v>
      </c>
      <c r="D87">
        <v>20819810746.374283</v>
      </c>
    </row>
    <row r="88" spans="1:4" x14ac:dyDescent="0.35">
      <c r="A88" t="s">
        <v>92</v>
      </c>
      <c r="B88">
        <v>3064.0923605197886</v>
      </c>
      <c r="C88">
        <v>368733224976.19775</v>
      </c>
      <c r="D88">
        <v>14902982165.592142</v>
      </c>
    </row>
    <row r="89" spans="1:4" x14ac:dyDescent="0.35">
      <c r="A89" t="s">
        <v>93</v>
      </c>
      <c r="B89">
        <v>3099.7101861313545</v>
      </c>
      <c r="C89">
        <v>372867773189.40076</v>
      </c>
      <c r="D89">
        <v>14523237728.597153</v>
      </c>
    </row>
    <row r="90" spans="1:4" x14ac:dyDescent="0.35">
      <c r="A90" t="s">
        <v>94</v>
      </c>
      <c r="B90">
        <v>3102.0902302291074</v>
      </c>
      <c r="C90">
        <v>372384838887.21234</v>
      </c>
      <c r="D90">
        <v>14058546522.739754</v>
      </c>
    </row>
    <row r="91" spans="1:4" x14ac:dyDescent="0.35">
      <c r="A91" t="s">
        <v>95</v>
      </c>
      <c r="B91">
        <v>3132.9808386096952</v>
      </c>
      <c r="C91">
        <v>376300269815.64581</v>
      </c>
      <c r="D91">
        <v>12435435678.409641</v>
      </c>
    </row>
    <row r="92" spans="1:4" x14ac:dyDescent="0.35">
      <c r="A92" t="s">
        <v>96</v>
      </c>
      <c r="B92">
        <v>3173.5042341380185</v>
      </c>
      <c r="C92">
        <v>381711250543.15491</v>
      </c>
      <c r="D92">
        <v>7830621980.6370153</v>
      </c>
    </row>
    <row r="93" spans="1:4" x14ac:dyDescent="0.35">
      <c r="A93" t="s">
        <v>97</v>
      </c>
      <c r="B93">
        <v>3252.6541847073631</v>
      </c>
      <c r="C93">
        <v>391583812600.57581</v>
      </c>
      <c r="D93">
        <v>9867236520.5210114</v>
      </c>
    </row>
    <row r="94" spans="1:4" x14ac:dyDescent="0.35">
      <c r="A94" t="s">
        <v>98</v>
      </c>
      <c r="B94">
        <v>3488.5387580277174</v>
      </c>
      <c r="C94">
        <v>419316550609.62476</v>
      </c>
      <c r="D94">
        <v>18368344859.430637</v>
      </c>
    </row>
    <row r="95" spans="1:4" x14ac:dyDescent="0.35">
      <c r="A95" t="s">
        <v>99</v>
      </c>
      <c r="B95">
        <v>3446.7658893041003</v>
      </c>
      <c r="C95">
        <v>414703698412.09491</v>
      </c>
      <c r="D95">
        <v>21040427365.588116</v>
      </c>
    </row>
    <row r="96" spans="1:4" x14ac:dyDescent="0.35">
      <c r="A96" t="s">
        <v>100</v>
      </c>
      <c r="B96">
        <v>3389.4412870381161</v>
      </c>
      <c r="C96">
        <v>407908628077.67224</v>
      </c>
      <c r="D96">
        <v>16978839263.794697</v>
      </c>
    </row>
    <row r="97" spans="1:4" x14ac:dyDescent="0.35">
      <c r="A97" t="s">
        <v>101</v>
      </c>
      <c r="B97">
        <v>3428.5520187667257</v>
      </c>
      <c r="C97">
        <v>412233122047.31641</v>
      </c>
      <c r="D97">
        <v>14884776298.264118</v>
      </c>
    </row>
    <row r="98" spans="1:4" x14ac:dyDescent="0.35">
      <c r="A98" t="s">
        <v>102</v>
      </c>
      <c r="B98">
        <v>3505.2225363884522</v>
      </c>
      <c r="C98">
        <v>421392010127.03082</v>
      </c>
      <c r="D98">
        <v>17784761899.551624</v>
      </c>
    </row>
    <row r="99" spans="1:4" x14ac:dyDescent="0.35">
      <c r="A99" t="s">
        <v>103</v>
      </c>
      <c r="B99">
        <v>3522.8013028122487</v>
      </c>
      <c r="C99">
        <v>423550664963.50604</v>
      </c>
      <c r="D99">
        <v>9427844289.7079792</v>
      </c>
    </row>
    <row r="100" spans="1:4" x14ac:dyDescent="0.35">
      <c r="A100" t="s">
        <v>104</v>
      </c>
      <c r="B100">
        <v>3533.1183495311529</v>
      </c>
      <c r="C100">
        <v>424780865928.96777</v>
      </c>
      <c r="D100">
        <v>13378492000.408422</v>
      </c>
    </row>
    <row r="101" spans="1:4" x14ac:dyDescent="0.35">
      <c r="A101" t="s">
        <v>105</v>
      </c>
      <c r="B101">
        <v>3443.0733508171438</v>
      </c>
      <c r="C101">
        <v>413961610216.08093</v>
      </c>
      <c r="D101">
        <v>18304154013.687572</v>
      </c>
    </row>
    <row r="102" spans="1:4" x14ac:dyDescent="0.35">
      <c r="A102" t="s">
        <v>106</v>
      </c>
      <c r="B102">
        <v>3482.9837705931927</v>
      </c>
      <c r="C102">
        <v>418879212976.89734</v>
      </c>
      <c r="D102">
        <v>25079221799.230476</v>
      </c>
    </row>
    <row r="103" spans="1:4" x14ac:dyDescent="0.35">
      <c r="A103" t="s">
        <v>107</v>
      </c>
      <c r="B103">
        <v>3336.3802530382436</v>
      </c>
      <c r="C103">
        <v>401152738546.72644</v>
      </c>
      <c r="D103">
        <v>15765758234.562634</v>
      </c>
    </row>
    <row r="104" spans="1:4" x14ac:dyDescent="0.35">
      <c r="A104" t="s">
        <v>108</v>
      </c>
      <c r="B104">
        <v>3173.7633983274727</v>
      </c>
      <c r="C104">
        <v>381782355331.57281</v>
      </c>
      <c r="D104">
        <v>25890826733.282848</v>
      </c>
    </row>
    <row r="105" spans="1:4" x14ac:dyDescent="0.35">
      <c r="A105" t="s">
        <v>109</v>
      </c>
      <c r="B105">
        <v>3278.1869575279507</v>
      </c>
      <c r="C105">
        <v>394189879099.25922</v>
      </c>
      <c r="D105">
        <v>15169277359.834238</v>
      </c>
    </row>
    <row r="106" spans="1:4" x14ac:dyDescent="0.35">
      <c r="A106" t="s">
        <v>110</v>
      </c>
      <c r="B106">
        <v>3254.6116725827851</v>
      </c>
      <c r="C106">
        <v>391424161950.51813</v>
      </c>
      <c r="D106">
        <v>14496971021.239912</v>
      </c>
    </row>
    <row r="107" spans="1:4" x14ac:dyDescent="0.35">
      <c r="A107" t="s">
        <v>111</v>
      </c>
      <c r="B107">
        <v>3272.8501306701373</v>
      </c>
      <c r="C107">
        <v>393579006059.77972</v>
      </c>
      <c r="D107">
        <v>7818233563.2355413</v>
      </c>
    </row>
    <row r="108" spans="1:4" x14ac:dyDescent="0.35">
      <c r="A108" t="s">
        <v>112</v>
      </c>
      <c r="B108">
        <v>3316.9421887732119</v>
      </c>
      <c r="C108">
        <v>399239444647.53821</v>
      </c>
      <c r="D108">
        <v>18452148650.905613</v>
      </c>
    </row>
    <row r="109" spans="1:4" x14ac:dyDescent="0.35">
      <c r="A109" t="s">
        <v>113</v>
      </c>
      <c r="B109">
        <v>3276.9817795167428</v>
      </c>
      <c r="C109">
        <v>393942961780.88654</v>
      </c>
      <c r="D109">
        <v>13805865977.524105</v>
      </c>
    </row>
    <row r="110" spans="1:4" x14ac:dyDescent="0.35">
      <c r="A110" t="s">
        <v>114</v>
      </c>
      <c r="B110">
        <v>3233.0768048631221</v>
      </c>
      <c r="C110">
        <v>388633791826.87012</v>
      </c>
      <c r="D110">
        <v>16143420325.47769</v>
      </c>
    </row>
    <row r="111" spans="1:4" x14ac:dyDescent="0.35">
      <c r="A111" t="s">
        <v>115</v>
      </c>
      <c r="B111">
        <v>3204.2465237463616</v>
      </c>
      <c r="C111">
        <v>385340171208.75555</v>
      </c>
      <c r="D111">
        <v>17786413332.129932</v>
      </c>
    </row>
    <row r="112" spans="1:4" x14ac:dyDescent="0.35">
      <c r="A112" t="s">
        <v>116</v>
      </c>
      <c r="B112">
        <v>2983.300976694291</v>
      </c>
      <c r="C112">
        <v>358543505038.73834</v>
      </c>
      <c r="D112">
        <v>18785849199.903355</v>
      </c>
    </row>
    <row r="113" spans="1:4" x14ac:dyDescent="0.35">
      <c r="A113" t="s">
        <v>117</v>
      </c>
      <c r="B113">
        <v>2906.7150241765007</v>
      </c>
      <c r="C113">
        <v>349395441871.30615</v>
      </c>
      <c r="D113">
        <v>17701956694.583191</v>
      </c>
    </row>
    <row r="114" spans="1:4" x14ac:dyDescent="0.35">
      <c r="A114" t="s">
        <v>118</v>
      </c>
      <c r="B114">
        <v>2682.4373928187924</v>
      </c>
      <c r="C114">
        <v>323403607818.74982</v>
      </c>
      <c r="D114">
        <v>22171247833.139385</v>
      </c>
    </row>
    <row r="115" spans="1:4" x14ac:dyDescent="0.35">
      <c r="A115" t="s">
        <v>119</v>
      </c>
      <c r="B115">
        <v>2415.6311394312143</v>
      </c>
      <c r="C115">
        <v>291245061884.56073</v>
      </c>
      <c r="D115">
        <v>73571034926.634277</v>
      </c>
    </row>
    <row r="116" spans="1:4" x14ac:dyDescent="0.35">
      <c r="A116" t="s">
        <v>120</v>
      </c>
      <c r="B116">
        <v>2455.5113766505101</v>
      </c>
      <c r="C116">
        <v>295168597349.07764</v>
      </c>
      <c r="D116">
        <v>27613148149.796356</v>
      </c>
    </row>
    <row r="117" spans="1:4" x14ac:dyDescent="0.35">
      <c r="A117" t="s">
        <v>121</v>
      </c>
      <c r="B117">
        <v>2341.5903460282489</v>
      </c>
      <c r="C117">
        <v>282098261495.40393</v>
      </c>
      <c r="D117">
        <v>24968091142.09198</v>
      </c>
    </row>
    <row r="118" spans="1:4" x14ac:dyDescent="0.35">
      <c r="A118" t="s">
        <v>122</v>
      </c>
      <c r="B118">
        <v>2685.0127506874892</v>
      </c>
      <c r="C118">
        <v>322827381254.3183</v>
      </c>
      <c r="D118">
        <v>24290512619.839314</v>
      </c>
    </row>
    <row r="119" spans="1:4" x14ac:dyDescent="0.35">
      <c r="A119" t="s">
        <v>123</v>
      </c>
      <c r="B119">
        <v>2602.1840712761878</v>
      </c>
      <c r="C119">
        <v>312353537574.90631</v>
      </c>
      <c r="D119">
        <v>18077335701.97768</v>
      </c>
    </row>
    <row r="120" spans="1:4" x14ac:dyDescent="0.35">
      <c r="A120" t="s">
        <v>124</v>
      </c>
      <c r="B120">
        <v>2608.0357436286963</v>
      </c>
      <c r="C120">
        <v>313697482213.23651</v>
      </c>
      <c r="D120">
        <v>8849019546.6482868</v>
      </c>
    </row>
    <row r="121" spans="1:4" x14ac:dyDescent="0.35">
      <c r="A121" t="s">
        <v>125</v>
      </c>
      <c r="B121">
        <v>2558.7908707307361</v>
      </c>
      <c r="C121">
        <v>307740266021.36603</v>
      </c>
      <c r="D121">
        <v>12624674028.077477</v>
      </c>
    </row>
    <row r="122" spans="1:4" x14ac:dyDescent="0.35">
      <c r="A122" t="s">
        <v>126</v>
      </c>
      <c r="B122">
        <v>2726.777988551933</v>
      </c>
      <c r="C122">
        <v>328070186437.41003</v>
      </c>
      <c r="D122">
        <v>22670968464.846756</v>
      </c>
    </row>
    <row r="123" spans="1:4" x14ac:dyDescent="0.35">
      <c r="A123" t="s">
        <v>127</v>
      </c>
      <c r="B123">
        <v>2703.5505587641255</v>
      </c>
      <c r="C123">
        <v>325002180894.27686</v>
      </c>
      <c r="D123">
        <v>16366799383.619089</v>
      </c>
    </row>
    <row r="124" spans="1:4" x14ac:dyDescent="0.35">
      <c r="A124" t="s">
        <v>128</v>
      </c>
      <c r="B124">
        <v>2662.780395092489</v>
      </c>
      <c r="C124">
        <v>320231285058.06165</v>
      </c>
      <c r="D124">
        <v>15887432311.728333</v>
      </c>
    </row>
    <row r="125" spans="1:4" x14ac:dyDescent="0.35">
      <c r="A125" t="s">
        <v>129</v>
      </c>
      <c r="B125">
        <v>2569.8604812159274</v>
      </c>
      <c r="C125">
        <v>309002097789.98779</v>
      </c>
      <c r="D125">
        <v>15498476343.410463</v>
      </c>
    </row>
    <row r="126" spans="1:4" x14ac:dyDescent="0.35">
      <c r="A126" t="s">
        <v>130</v>
      </c>
      <c r="B126">
        <v>2592.249006212312</v>
      </c>
      <c r="C126">
        <v>311786461030.44476</v>
      </c>
      <c r="D126">
        <v>12841847017.271076</v>
      </c>
    </row>
    <row r="127" spans="1:4" x14ac:dyDescent="0.35">
      <c r="A127" t="s">
        <v>131</v>
      </c>
      <c r="B127">
        <v>2613.1392614460992</v>
      </c>
      <c r="C127">
        <v>314212508914.41492</v>
      </c>
      <c r="D127">
        <v>5483825246.0988388</v>
      </c>
    </row>
    <row r="128" spans="1:4" x14ac:dyDescent="0.35">
      <c r="A128" t="s">
        <v>132</v>
      </c>
      <c r="B128">
        <v>2614.6012806263716</v>
      </c>
      <c r="C128">
        <v>314682052511.70367</v>
      </c>
      <c r="D128">
        <v>8617702421.1282692</v>
      </c>
    </row>
    <row r="129" spans="1:4" x14ac:dyDescent="0.35">
      <c r="A129" t="s">
        <v>133</v>
      </c>
      <c r="B129">
        <v>2640.5904207330605</v>
      </c>
      <c r="C129">
        <v>317616756579.9527</v>
      </c>
      <c r="D129">
        <v>11730843561.162947</v>
      </c>
    </row>
    <row r="130" spans="1:4" x14ac:dyDescent="0.35">
      <c r="A130" t="s">
        <v>134</v>
      </c>
      <c r="B130">
        <v>2575.6434355035672</v>
      </c>
      <c r="C130">
        <v>309867213669.31934</v>
      </c>
      <c r="D130">
        <v>12823659998.035198</v>
      </c>
    </row>
    <row r="131" spans="1:4" x14ac:dyDescent="0.35">
      <c r="A131" t="s">
        <v>135</v>
      </c>
      <c r="B131">
        <v>2630.2988017642488</v>
      </c>
      <c r="C131">
        <v>316360729845.15863</v>
      </c>
      <c r="D131">
        <v>11246256658.90509</v>
      </c>
    </row>
    <row r="132" spans="1:4" x14ac:dyDescent="0.35">
      <c r="A132" t="s">
        <v>136</v>
      </c>
      <c r="B132">
        <v>2623.289171364539</v>
      </c>
      <c r="C132">
        <v>315630604929.48572</v>
      </c>
      <c r="D132">
        <v>10277172867.663338</v>
      </c>
    </row>
    <row r="133" spans="1:4" x14ac:dyDescent="0.35">
      <c r="A133" t="s">
        <v>137</v>
      </c>
      <c r="B133">
        <v>2763.2554073640704</v>
      </c>
      <c r="C133">
        <v>332181161792.2442</v>
      </c>
      <c r="D133">
        <v>17876365362.452858</v>
      </c>
    </row>
    <row r="134" spans="1:4" x14ac:dyDescent="0.35">
      <c r="A134" t="s">
        <v>138</v>
      </c>
      <c r="B134">
        <v>2767.8407335462339</v>
      </c>
      <c r="C134">
        <v>332950073030.8183</v>
      </c>
      <c r="D134">
        <v>11990449014.147696</v>
      </c>
    </row>
    <row r="135" spans="1:4" x14ac:dyDescent="0.35">
      <c r="A135" t="s">
        <v>139</v>
      </c>
      <c r="B135">
        <v>2745.1646716052069</v>
      </c>
      <c r="C135">
        <v>330332547375.31042</v>
      </c>
      <c r="D135">
        <v>8312216650.941433</v>
      </c>
    </row>
    <row r="136" spans="1:4" x14ac:dyDescent="0.35">
      <c r="A136" t="s">
        <v>140</v>
      </c>
      <c r="B136">
        <v>2683.0801154902983</v>
      </c>
      <c r="C136">
        <v>322816645099.58173</v>
      </c>
      <c r="D136">
        <v>11486270160.014797</v>
      </c>
    </row>
    <row r="137" spans="1:4" x14ac:dyDescent="0.35">
      <c r="A137" t="s">
        <v>141</v>
      </c>
      <c r="B137">
        <v>2457.2773517547434</v>
      </c>
      <c r="C137">
        <v>295636169778.93835</v>
      </c>
      <c r="D137">
        <v>17505948780.257198</v>
      </c>
    </row>
    <row r="138" spans="1:4" x14ac:dyDescent="0.35">
      <c r="A138" t="s">
        <v>142</v>
      </c>
      <c r="B138">
        <v>2527.0269814017706</v>
      </c>
      <c r="C138">
        <v>303958449107.31573</v>
      </c>
      <c r="D138">
        <v>21234602056.030586</v>
      </c>
    </row>
    <row r="139" spans="1:4" x14ac:dyDescent="0.35">
      <c r="A139" t="s">
        <v>143</v>
      </c>
      <c r="B139">
        <v>2526.7383553003406</v>
      </c>
      <c r="C139">
        <v>304106394048.12372</v>
      </c>
      <c r="D139">
        <v>13272715023.256615</v>
      </c>
    </row>
    <row r="140" spans="1:4" x14ac:dyDescent="0.35">
      <c r="A140" t="s">
        <v>144</v>
      </c>
      <c r="B140">
        <v>2527.6902049157952</v>
      </c>
      <c r="C140">
        <v>304009556580.61725</v>
      </c>
      <c r="D140">
        <v>15607580785.925383</v>
      </c>
    </row>
    <row r="141" spans="1:4" x14ac:dyDescent="0.35">
      <c r="A141" t="s">
        <v>145</v>
      </c>
      <c r="B141">
        <v>2513.3643501004462</v>
      </c>
      <c r="C141">
        <v>302383496015.13647</v>
      </c>
      <c r="D141">
        <v>6105765553.728281</v>
      </c>
    </row>
    <row r="142" spans="1:4" x14ac:dyDescent="0.35">
      <c r="A142" t="s">
        <v>146</v>
      </c>
      <c r="B142">
        <v>2430.0202661439344</v>
      </c>
      <c r="C142">
        <v>292436067877.05847</v>
      </c>
      <c r="D142">
        <v>11229587557.968822</v>
      </c>
    </row>
    <row r="143" spans="1:4" x14ac:dyDescent="0.35">
      <c r="A143" t="s">
        <v>147</v>
      </c>
      <c r="B143">
        <v>2534.9048168403706</v>
      </c>
      <c r="C143">
        <v>304838837601.64795</v>
      </c>
      <c r="D143">
        <v>12130504179.053215</v>
      </c>
    </row>
    <row r="144" spans="1:4" x14ac:dyDescent="0.35">
      <c r="A144" t="s">
        <v>148</v>
      </c>
      <c r="B144">
        <v>2437.1471557556497</v>
      </c>
      <c r="C144">
        <v>293818299349.59528</v>
      </c>
      <c r="D144">
        <v>9565142020.243557</v>
      </c>
    </row>
    <row r="145" spans="1:4" x14ac:dyDescent="0.35">
      <c r="A145" t="s">
        <v>149</v>
      </c>
      <c r="B145">
        <v>2448.3078578408899</v>
      </c>
      <c r="C145">
        <v>294329412026.39319</v>
      </c>
      <c r="D145">
        <v>16639700582.521397</v>
      </c>
    </row>
    <row r="146" spans="1:4" x14ac:dyDescent="0.35">
      <c r="A146" t="s">
        <v>150</v>
      </c>
      <c r="B146">
        <v>2367.7700509506026</v>
      </c>
      <c r="C146">
        <v>284989115168.67084</v>
      </c>
      <c r="D146">
        <v>11060190870.627691</v>
      </c>
    </row>
    <row r="147" spans="1:4" x14ac:dyDescent="0.35">
      <c r="A147" t="s">
        <v>151</v>
      </c>
      <c r="B147">
        <v>2223.7804283826849</v>
      </c>
      <c r="C147">
        <v>267574522057.00296</v>
      </c>
      <c r="D147">
        <v>26087934661.284035</v>
      </c>
    </row>
    <row r="148" spans="1:4" x14ac:dyDescent="0.35">
      <c r="A148" t="s">
        <v>152</v>
      </c>
      <c r="B148">
        <v>2272.6972849951912</v>
      </c>
      <c r="C148">
        <v>273350308345.93225</v>
      </c>
      <c r="D148">
        <v>10405191111.340616</v>
      </c>
    </row>
    <row r="149" spans="1:4" x14ac:dyDescent="0.35">
      <c r="A149" t="s">
        <v>153</v>
      </c>
      <c r="B149">
        <v>2296.4029520764498</v>
      </c>
      <c r="C149">
        <v>276344419515.76019</v>
      </c>
      <c r="D149">
        <v>9844980386.8254929</v>
      </c>
    </row>
    <row r="150" spans="1:4" x14ac:dyDescent="0.35">
      <c r="A150" t="s">
        <v>154</v>
      </c>
      <c r="B150">
        <v>2359.5657668316271</v>
      </c>
      <c r="C150">
        <v>284026097136.99719</v>
      </c>
      <c r="D150">
        <v>15874675673.552357</v>
      </c>
    </row>
    <row r="151" spans="1:4" x14ac:dyDescent="0.35">
      <c r="A151" t="s">
        <v>155</v>
      </c>
      <c r="B151">
        <v>2389.4740111256497</v>
      </c>
      <c r="C151">
        <v>287422889605.80823</v>
      </c>
      <c r="D151">
        <v>12508388687.122387</v>
      </c>
    </row>
    <row r="152" spans="1:4" x14ac:dyDescent="0.35">
      <c r="A152" t="s">
        <v>156</v>
      </c>
      <c r="B152">
        <v>2342.9639236941434</v>
      </c>
      <c r="C152">
        <v>282041230807.98279</v>
      </c>
      <c r="D152">
        <v>14692963988.991079</v>
      </c>
    </row>
    <row r="153" spans="1:4" x14ac:dyDescent="0.35">
      <c r="A153" t="s">
        <v>157</v>
      </c>
      <c r="B153">
        <v>2362.3002381745878</v>
      </c>
      <c r="C153">
        <v>284255194234.77527</v>
      </c>
      <c r="D153">
        <v>11610780893.077023</v>
      </c>
    </row>
    <row r="154" spans="1:4" x14ac:dyDescent="0.35">
      <c r="A154" t="s">
        <v>158</v>
      </c>
      <c r="B154">
        <v>2445.0862103229701</v>
      </c>
      <c r="C154">
        <v>294131761890.34509</v>
      </c>
      <c r="D154">
        <v>13122792869.978857</v>
      </c>
    </row>
    <row r="155" spans="1:4" x14ac:dyDescent="0.35">
      <c r="A155" t="s">
        <v>159</v>
      </c>
      <c r="B155">
        <v>2418.0828083179904</v>
      </c>
      <c r="C155">
        <v>290912717943.81995</v>
      </c>
      <c r="D155">
        <v>7248493705.2686024</v>
      </c>
    </row>
    <row r="156" spans="1:4" x14ac:dyDescent="0.35">
      <c r="A156" t="s">
        <v>160</v>
      </c>
      <c r="B156">
        <v>2322.6433317480564</v>
      </c>
      <c r="C156">
        <v>279257769574.61383</v>
      </c>
      <c r="D156">
        <v>9361948332.9457474</v>
      </c>
    </row>
    <row r="157" spans="1:4" x14ac:dyDescent="0.35">
      <c r="A157" t="s">
        <v>161</v>
      </c>
      <c r="B157">
        <v>2295.1348386540835</v>
      </c>
      <c r="C157">
        <v>276339513490.21936</v>
      </c>
      <c r="D157">
        <v>16629103878.541571</v>
      </c>
    </row>
    <row r="158" spans="1:4" x14ac:dyDescent="0.35">
      <c r="A158" t="s">
        <v>162</v>
      </c>
      <c r="B158">
        <v>2341.0924132597524</v>
      </c>
      <c r="C158">
        <v>281704536557.39612</v>
      </c>
      <c r="D158">
        <v>14449511265.93516</v>
      </c>
    </row>
    <row r="159" spans="1:4" x14ac:dyDescent="0.35">
      <c r="A159" t="s">
        <v>163</v>
      </c>
      <c r="B159">
        <v>2361.9609921007059</v>
      </c>
      <c r="C159">
        <v>283874122378.3681</v>
      </c>
      <c r="D159">
        <v>17524561761.811428</v>
      </c>
    </row>
    <row r="160" spans="1:4" x14ac:dyDescent="0.35">
      <c r="A160" t="s">
        <v>164</v>
      </c>
      <c r="B160">
        <v>2465.2347833172967</v>
      </c>
      <c r="C160">
        <v>296680606397.51587</v>
      </c>
      <c r="D160">
        <v>17820089225.376942</v>
      </c>
    </row>
    <row r="161" spans="1:4" x14ac:dyDescent="0.35">
      <c r="A161" t="s">
        <v>165</v>
      </c>
      <c r="B161">
        <v>2557.6218555442515</v>
      </c>
      <c r="C161">
        <v>307586864690.15448</v>
      </c>
      <c r="D161">
        <v>18498405459.395584</v>
      </c>
    </row>
    <row r="162" spans="1:4" x14ac:dyDescent="0.35">
      <c r="A162" t="s">
        <v>166</v>
      </c>
      <c r="B162">
        <v>2614.5996047535009</v>
      </c>
      <c r="C162">
        <v>315153052833.93011</v>
      </c>
      <c r="D162">
        <v>9276102854.5363388</v>
      </c>
    </row>
    <row r="163" spans="1:4" x14ac:dyDescent="0.35">
      <c r="A163" t="s">
        <v>167</v>
      </c>
      <c r="B163">
        <v>2582.8476837412618</v>
      </c>
      <c r="C163">
        <v>310840922229.84131</v>
      </c>
      <c r="D163">
        <v>12759588941.97967</v>
      </c>
    </row>
    <row r="164" spans="1:4" x14ac:dyDescent="0.35">
      <c r="A164" t="s">
        <v>168</v>
      </c>
      <c r="B164">
        <v>2647.9931622033255</v>
      </c>
      <c r="C164">
        <v>318666137823.1156</v>
      </c>
      <c r="D164">
        <v>19740370943.835594</v>
      </c>
    </row>
    <row r="165" spans="1:4" x14ac:dyDescent="0.35">
      <c r="A165" t="s">
        <v>169</v>
      </c>
      <c r="B165">
        <v>2653.8443453080081</v>
      </c>
      <c r="C165">
        <v>319524635350.52515</v>
      </c>
      <c r="D165">
        <v>16584773336.25631</v>
      </c>
    </row>
    <row r="166" spans="1:4" x14ac:dyDescent="0.35">
      <c r="A166" t="s">
        <v>170</v>
      </c>
      <c r="B166">
        <v>2578.5663595634751</v>
      </c>
      <c r="C166">
        <v>309875035203.63593</v>
      </c>
      <c r="D166">
        <v>14003678832.756735</v>
      </c>
    </row>
    <row r="167" spans="1:4" x14ac:dyDescent="0.35">
      <c r="A167" t="s">
        <v>171</v>
      </c>
      <c r="B167">
        <v>2630.94983700893</v>
      </c>
      <c r="C167">
        <v>316828988137.27673</v>
      </c>
      <c r="D167">
        <v>16686162392.966532</v>
      </c>
    </row>
    <row r="168" spans="1:4" x14ac:dyDescent="0.35">
      <c r="A168" t="s">
        <v>172</v>
      </c>
      <c r="B168">
        <v>2698.1928212346033</v>
      </c>
      <c r="C168">
        <v>324681649929.6723</v>
      </c>
      <c r="D168">
        <v>16468123574.122629</v>
      </c>
    </row>
    <row r="169" spans="1:4" x14ac:dyDescent="0.35">
      <c r="A169" t="s">
        <v>173</v>
      </c>
      <c r="B169">
        <v>2680.218702062471</v>
      </c>
      <c r="C169">
        <v>322761939149.41071</v>
      </c>
      <c r="D169">
        <v>9607072594.4393826</v>
      </c>
    </row>
    <row r="170" spans="1:4" x14ac:dyDescent="0.35">
      <c r="A170" t="s">
        <v>174</v>
      </c>
      <c r="B170">
        <v>2659.6112116116892</v>
      </c>
      <c r="C170">
        <v>320146112155.93958</v>
      </c>
      <c r="D170">
        <v>9570811494.0682259</v>
      </c>
    </row>
    <row r="171" spans="1:4" x14ac:dyDescent="0.35">
      <c r="A171" t="s">
        <v>175</v>
      </c>
      <c r="B171">
        <v>2597.3411516834435</v>
      </c>
      <c r="C171">
        <v>312577514239.36951</v>
      </c>
      <c r="D171">
        <v>17539259209.421951</v>
      </c>
    </row>
    <row r="172" spans="1:4" x14ac:dyDescent="0.35">
      <c r="A172" t="s">
        <v>176</v>
      </c>
      <c r="B172">
        <v>2451.631522589772</v>
      </c>
      <c r="C172">
        <v>295243912099.71765</v>
      </c>
      <c r="D172">
        <v>26538568534.282005</v>
      </c>
    </row>
    <row r="173" spans="1:4" x14ac:dyDescent="0.35">
      <c r="A173" t="s">
        <v>177</v>
      </c>
      <c r="B173">
        <v>2365.2310402430189</v>
      </c>
      <c r="C173">
        <v>284621591999.18945</v>
      </c>
      <c r="D173">
        <v>20613586399.406929</v>
      </c>
    </row>
    <row r="174" spans="1:4" x14ac:dyDescent="0.35">
      <c r="A174" t="s">
        <v>178</v>
      </c>
      <c r="B174">
        <v>2348.0048369247393</v>
      </c>
      <c r="C174">
        <v>282601960212.3656</v>
      </c>
      <c r="D174">
        <v>18771995105.191242</v>
      </c>
    </row>
    <row r="175" spans="1:4" x14ac:dyDescent="0.35">
      <c r="A175" t="s">
        <v>179</v>
      </c>
      <c r="B175">
        <v>2416.9184055552637</v>
      </c>
      <c r="C175">
        <v>290928251441.44226</v>
      </c>
      <c r="D175">
        <v>15230883994.399237</v>
      </c>
    </row>
    <row r="176" spans="1:4" x14ac:dyDescent="0.35">
      <c r="A176" t="s">
        <v>180</v>
      </c>
      <c r="B176">
        <v>2415.4038137445546</v>
      </c>
      <c r="C176">
        <v>290706276902.61438</v>
      </c>
      <c r="D176">
        <v>7362867897.9599018</v>
      </c>
    </row>
    <row r="177" spans="1:4" x14ac:dyDescent="0.35">
      <c r="A177" t="s">
        <v>181</v>
      </c>
      <c r="B177">
        <v>2438.0309125440122</v>
      </c>
      <c r="C177">
        <v>293516242471.93329</v>
      </c>
      <c r="D177">
        <v>7641011283.5201206</v>
      </c>
    </row>
    <row r="178" spans="1:4" x14ac:dyDescent="0.35">
      <c r="A178" t="s">
        <v>182</v>
      </c>
      <c r="B178">
        <v>2422.7506412955013</v>
      </c>
      <c r="C178">
        <v>291612805733.03143</v>
      </c>
      <c r="D178">
        <v>16943828822.371426</v>
      </c>
    </row>
    <row r="179" spans="1:4" x14ac:dyDescent="0.35">
      <c r="A179" t="s">
        <v>183</v>
      </c>
      <c r="B179">
        <v>2441.4651696200294</v>
      </c>
      <c r="C179">
        <v>294190554781.40424</v>
      </c>
      <c r="D179">
        <v>13601054198.545612</v>
      </c>
    </row>
    <row r="180" spans="1:4" x14ac:dyDescent="0.35">
      <c r="A180" t="s">
        <v>184</v>
      </c>
      <c r="B180">
        <v>2367.615096789395</v>
      </c>
      <c r="C180">
        <v>285084590935.44843</v>
      </c>
      <c r="D180">
        <v>14384326799.317202</v>
      </c>
    </row>
    <row r="181" spans="1:4" x14ac:dyDescent="0.35">
      <c r="A181" t="s">
        <v>185</v>
      </c>
      <c r="B181">
        <v>2381.7817088014776</v>
      </c>
      <c r="C181">
        <v>286552629874.80652</v>
      </c>
      <c r="D181">
        <v>14686776834.298496</v>
      </c>
    </row>
    <row r="182" spans="1:4" x14ac:dyDescent="0.35">
      <c r="A182" t="s">
        <v>186</v>
      </c>
      <c r="B182">
        <v>2435.7137843692162</v>
      </c>
      <c r="C182">
        <v>293162664953.97815</v>
      </c>
      <c r="D182">
        <v>13097241431.234644</v>
      </c>
    </row>
    <row r="183" spans="1:4" x14ac:dyDescent="0.35">
      <c r="A183" t="s">
        <v>187</v>
      </c>
      <c r="B183">
        <v>2477.6130275578225</v>
      </c>
      <c r="C183">
        <v>298282533565.20972</v>
      </c>
      <c r="D183">
        <v>8538997411.4702921</v>
      </c>
    </row>
    <row r="184" spans="1:4" x14ac:dyDescent="0.35">
      <c r="A184" t="s">
        <v>188</v>
      </c>
      <c r="B184">
        <v>2466.8607267086663</v>
      </c>
      <c r="C184">
        <v>296977636559.92773</v>
      </c>
      <c r="D184">
        <v>7516544091.4452696</v>
      </c>
    </row>
    <row r="185" spans="1:4" x14ac:dyDescent="0.35">
      <c r="A185" t="s">
        <v>189</v>
      </c>
      <c r="B185">
        <v>2628.5043761577508</v>
      </c>
      <c r="C185">
        <v>316451494816.54065</v>
      </c>
      <c r="D185">
        <v>21502937840.286705</v>
      </c>
    </row>
    <row r="186" spans="1:4" x14ac:dyDescent="0.35">
      <c r="A186" t="s">
        <v>190</v>
      </c>
      <c r="B186">
        <v>2602.0760435960988</v>
      </c>
      <c r="C186">
        <v>313216116600.22363</v>
      </c>
      <c r="D186">
        <v>21986428173.145988</v>
      </c>
    </row>
    <row r="187" spans="1:4" x14ac:dyDescent="0.35">
      <c r="A187" t="s">
        <v>191</v>
      </c>
      <c r="B187">
        <v>2611.7001591823951</v>
      </c>
      <c r="C187">
        <v>314435102932.43042</v>
      </c>
      <c r="D187">
        <v>16135687550.25065</v>
      </c>
    </row>
    <row r="188" spans="1:4" x14ac:dyDescent="0.35">
      <c r="A188" t="s">
        <v>192</v>
      </c>
      <c r="B188">
        <v>2603.1202923346113</v>
      </c>
      <c r="C188">
        <v>313194633306.5954</v>
      </c>
      <c r="D188">
        <v>14330391810.475258</v>
      </c>
    </row>
    <row r="189" spans="1:4" x14ac:dyDescent="0.35">
      <c r="A189" t="s">
        <v>193</v>
      </c>
      <c r="B189">
        <v>2643.1565209871042</v>
      </c>
      <c r="C189">
        <v>318245706033.60498</v>
      </c>
      <c r="D189">
        <v>16301885114.203026</v>
      </c>
    </row>
    <row r="190" spans="1:4" x14ac:dyDescent="0.35">
      <c r="A190" t="s">
        <v>194</v>
      </c>
      <c r="B190">
        <v>2649.9792895802138</v>
      </c>
      <c r="C190">
        <v>318975355966.11853</v>
      </c>
      <c r="D190">
        <v>7337169826.4649134</v>
      </c>
    </row>
    <row r="191" spans="1:4" x14ac:dyDescent="0.35">
      <c r="A191" t="s">
        <v>195</v>
      </c>
      <c r="B191">
        <v>2742.9591411600395</v>
      </c>
      <c r="C191">
        <v>330127637903.25641</v>
      </c>
      <c r="D191">
        <v>12697856633.571321</v>
      </c>
    </row>
    <row r="192" spans="1:4" x14ac:dyDescent="0.35">
      <c r="A192" t="s">
        <v>196</v>
      </c>
      <c r="B192">
        <v>2665.7319389740128</v>
      </c>
      <c r="C192">
        <v>320871813296.62164</v>
      </c>
      <c r="D192">
        <v>17340865615.868176</v>
      </c>
    </row>
    <row r="193" spans="1:4" x14ac:dyDescent="0.35">
      <c r="A193" t="s">
        <v>197</v>
      </c>
      <c r="B193">
        <v>2619.5653130506435</v>
      </c>
      <c r="C193">
        <v>315286963217.62329</v>
      </c>
      <c r="D193">
        <v>15418370745.510691</v>
      </c>
    </row>
    <row r="194" spans="1:4" x14ac:dyDescent="0.35">
      <c r="A194" t="s">
        <v>198</v>
      </c>
      <c r="B194">
        <v>2524.1038563091197</v>
      </c>
      <c r="C194">
        <v>303758669310.65466</v>
      </c>
      <c r="D194">
        <v>19004341635.326817</v>
      </c>
    </row>
    <row r="195" spans="1:4" x14ac:dyDescent="0.35">
      <c r="A195" t="s">
        <v>199</v>
      </c>
      <c r="B195">
        <v>2536.234041319884</v>
      </c>
      <c r="C195">
        <v>305016120148.38428</v>
      </c>
      <c r="D195">
        <v>16708110976.636312</v>
      </c>
    </row>
    <row r="196" spans="1:4" x14ac:dyDescent="0.35">
      <c r="A196" t="s">
        <v>200</v>
      </c>
      <c r="B196">
        <v>2422.0932892287501</v>
      </c>
      <c r="C196">
        <v>290598017399.46838</v>
      </c>
      <c r="D196">
        <v>23734197478.807434</v>
      </c>
    </row>
    <row r="197" spans="1:4" x14ac:dyDescent="0.35">
      <c r="A197" t="s">
        <v>201</v>
      </c>
      <c r="B197">
        <v>2479.3736032443317</v>
      </c>
      <c r="C197">
        <v>298518432454.89374</v>
      </c>
      <c r="D197">
        <v>13434262241.346319</v>
      </c>
    </row>
    <row r="198" spans="1:4" x14ac:dyDescent="0.35">
      <c r="A198" t="s">
        <v>202</v>
      </c>
      <c r="B198">
        <v>2505.5029471388789</v>
      </c>
      <c r="C198">
        <v>301656245036.73352</v>
      </c>
      <c r="D198">
        <v>8656317174.6546421</v>
      </c>
    </row>
    <row r="199" spans="1:4" x14ac:dyDescent="0.35">
      <c r="A199" t="s">
        <v>203</v>
      </c>
      <c r="B199">
        <v>2564.8138556782997</v>
      </c>
      <c r="C199">
        <v>308760527470.31</v>
      </c>
      <c r="D199">
        <v>19560694034.693996</v>
      </c>
    </row>
    <row r="200" spans="1:4" x14ac:dyDescent="0.35">
      <c r="A200" t="s">
        <v>204</v>
      </c>
      <c r="B200">
        <v>2638.637351278122</v>
      </c>
      <c r="C200">
        <v>317633905084.88507</v>
      </c>
      <c r="D200">
        <v>22541317733.245987</v>
      </c>
    </row>
    <row r="201" spans="1:4" x14ac:dyDescent="0.35">
      <c r="A201" t="s">
        <v>205</v>
      </c>
      <c r="B201">
        <v>2657.6141818494384</v>
      </c>
      <c r="C201">
        <v>320125387602.98999</v>
      </c>
      <c r="D201">
        <v>22790792400.863556</v>
      </c>
    </row>
    <row r="202" spans="1:4" x14ac:dyDescent="0.35">
      <c r="A202" t="s">
        <v>206</v>
      </c>
      <c r="B202">
        <v>2514.7507872410729</v>
      </c>
      <c r="C202">
        <v>302903644448.69275</v>
      </c>
      <c r="D202">
        <v>20097565241.562813</v>
      </c>
    </row>
    <row r="203" spans="1:4" x14ac:dyDescent="0.35">
      <c r="A203" t="s">
        <v>207</v>
      </c>
      <c r="B203">
        <v>2513.8372870612066</v>
      </c>
      <c r="C203">
        <v>302633410028.4328</v>
      </c>
      <c r="D203">
        <v>20396109310.40712</v>
      </c>
    </row>
    <row r="204" spans="1:4" x14ac:dyDescent="0.35">
      <c r="A204" t="s">
        <v>208</v>
      </c>
      <c r="B204">
        <v>2491.3521500586571</v>
      </c>
      <c r="C204">
        <v>299972542553.578</v>
      </c>
      <c r="D204">
        <v>8253307127.2299147</v>
      </c>
    </row>
    <row r="205" spans="1:4" x14ac:dyDescent="0.35">
      <c r="A205" t="s">
        <v>209</v>
      </c>
      <c r="B205">
        <v>2456.9796873447108</v>
      </c>
      <c r="C205">
        <v>296080479788.81036</v>
      </c>
      <c r="D205">
        <v>14546539750.496363</v>
      </c>
    </row>
    <row r="206" spans="1:4" x14ac:dyDescent="0.35">
      <c r="A206" t="s">
        <v>210</v>
      </c>
      <c r="B206">
        <v>2395.9472139132804</v>
      </c>
      <c r="C206">
        <v>288417039274.46637</v>
      </c>
      <c r="D206">
        <v>17316680977.698635</v>
      </c>
    </row>
    <row r="207" spans="1:4" x14ac:dyDescent="0.35">
      <c r="A207" t="s">
        <v>211</v>
      </c>
      <c r="B207">
        <v>2422.3684798556419</v>
      </c>
      <c r="C207">
        <v>291680535424.01501</v>
      </c>
      <c r="D207">
        <v>18024855703.904736</v>
      </c>
    </row>
    <row r="208" spans="1:4" x14ac:dyDescent="0.35">
      <c r="A208" t="s">
        <v>212</v>
      </c>
      <c r="B208">
        <v>2720.6217450068793</v>
      </c>
      <c r="C208">
        <v>327447580506.65381</v>
      </c>
      <c r="D208">
        <v>42388106411.068611</v>
      </c>
    </row>
    <row r="209" spans="1:4" x14ac:dyDescent="0.35">
      <c r="A209" t="s">
        <v>213</v>
      </c>
      <c r="B209">
        <v>2894.9718733838376</v>
      </c>
      <c r="C209">
        <v>348640981227.00085</v>
      </c>
      <c r="D209">
        <v>36844374455.935097</v>
      </c>
    </row>
    <row r="210" spans="1:4" x14ac:dyDescent="0.35">
      <c r="A210" t="s">
        <v>214</v>
      </c>
      <c r="B210">
        <v>2960.9593369382137</v>
      </c>
      <c r="C210">
        <v>356482981903.24994</v>
      </c>
      <c r="D210">
        <v>33688997426.402592</v>
      </c>
    </row>
    <row r="211" spans="1:4" x14ac:dyDescent="0.35">
      <c r="A211" t="s">
        <v>215</v>
      </c>
      <c r="B211">
        <v>3130.0355240739959</v>
      </c>
      <c r="C211">
        <v>376942816358.42664</v>
      </c>
      <c r="D211">
        <v>30583711140.362839</v>
      </c>
    </row>
    <row r="212" spans="1:4" x14ac:dyDescent="0.35">
      <c r="A212" t="s">
        <v>216</v>
      </c>
      <c r="B212">
        <v>3191.9044555518153</v>
      </c>
      <c r="C212">
        <v>384143201744.36383</v>
      </c>
      <c r="D212">
        <v>47726595161.325348</v>
      </c>
    </row>
    <row r="213" spans="1:4" x14ac:dyDescent="0.35">
      <c r="A213" t="s">
        <v>217</v>
      </c>
      <c r="B213">
        <v>3372.7914863430115</v>
      </c>
      <c r="C213">
        <v>407462829811.21619</v>
      </c>
      <c r="D213">
        <v>62390436438.249817</v>
      </c>
    </row>
    <row r="214" spans="1:4" x14ac:dyDescent="0.35">
      <c r="A214" t="s">
        <v>218</v>
      </c>
      <c r="B214">
        <v>3260.934386131155</v>
      </c>
      <c r="C214">
        <v>392233485413.74341</v>
      </c>
      <c r="D214">
        <v>60074013245.452469</v>
      </c>
    </row>
    <row r="215" spans="1:4" x14ac:dyDescent="0.35">
      <c r="A215" t="s">
        <v>219</v>
      </c>
      <c r="B215">
        <v>3191.8991843987947</v>
      </c>
      <c r="C215">
        <v>384320615296.67572</v>
      </c>
      <c r="D215">
        <v>65592582441.257767</v>
      </c>
    </row>
    <row r="216" spans="1:4" x14ac:dyDescent="0.35">
      <c r="A216" t="s">
        <v>220</v>
      </c>
      <c r="B216">
        <v>3059.8122969324959</v>
      </c>
      <c r="C216">
        <v>367484509623.64471</v>
      </c>
      <c r="D216">
        <v>37531565153.535194</v>
      </c>
    </row>
    <row r="217" spans="1:4" x14ac:dyDescent="0.35">
      <c r="A217" t="s">
        <v>221</v>
      </c>
      <c r="B217">
        <v>3093.913043390382</v>
      </c>
      <c r="C217">
        <v>372487751993.49884</v>
      </c>
      <c r="D217">
        <v>33076552515.401417</v>
      </c>
    </row>
    <row r="218" spans="1:4" x14ac:dyDescent="0.35">
      <c r="A218" t="s">
        <v>222</v>
      </c>
      <c r="B218">
        <v>3133.8802234191417</v>
      </c>
      <c r="C218">
        <v>376904025324.19116</v>
      </c>
      <c r="D218">
        <v>26503107468.259789</v>
      </c>
    </row>
    <row r="219" spans="1:4" x14ac:dyDescent="0.35">
      <c r="A219" t="s">
        <v>223</v>
      </c>
      <c r="B219">
        <v>3075.5345326016241</v>
      </c>
      <c r="C219">
        <v>370225690651.50989</v>
      </c>
      <c r="D219">
        <v>28547657381.284779</v>
      </c>
    </row>
    <row r="220" spans="1:4" x14ac:dyDescent="0.35">
      <c r="A220" t="s">
        <v>224</v>
      </c>
      <c r="B220">
        <v>3209.4239073326826</v>
      </c>
      <c r="C220">
        <v>386129534586.85486</v>
      </c>
      <c r="D220">
        <v>35364731417.998573</v>
      </c>
    </row>
    <row r="221" spans="1:4" x14ac:dyDescent="0.35">
      <c r="A221" t="s">
        <v>225</v>
      </c>
      <c r="B221">
        <v>3112.9098010150224</v>
      </c>
      <c r="C221">
        <v>374925759373.26062</v>
      </c>
      <c r="D221">
        <v>29767245881.040333</v>
      </c>
    </row>
    <row r="222" spans="1:4" x14ac:dyDescent="0.35">
      <c r="A222" t="s">
        <v>226</v>
      </c>
      <c r="B222">
        <v>3075.1938566493309</v>
      </c>
      <c r="C222">
        <v>370266265216.9245</v>
      </c>
      <c r="D222">
        <v>29508936260.346874</v>
      </c>
    </row>
    <row r="223" spans="1:4" x14ac:dyDescent="0.35">
      <c r="A223" t="s">
        <v>227</v>
      </c>
      <c r="B223">
        <v>3365.9369715466096</v>
      </c>
      <c r="C223">
        <v>405284044226.11957</v>
      </c>
      <c r="D223">
        <v>55714132904.979607</v>
      </c>
    </row>
    <row r="224" spans="1:4" x14ac:dyDescent="0.35">
      <c r="A224" t="s">
        <v>228</v>
      </c>
      <c r="B224">
        <v>3327.7571951719624</v>
      </c>
      <c r="C224">
        <v>400787854559.32739</v>
      </c>
      <c r="D224">
        <v>36536922518.793053</v>
      </c>
    </row>
    <row r="225" spans="1:4" x14ac:dyDescent="0.35">
      <c r="A225" t="s">
        <v>229</v>
      </c>
      <c r="B225">
        <v>3394.0369617825472</v>
      </c>
      <c r="C225">
        <v>408448492183.1955</v>
      </c>
      <c r="D225">
        <v>42885423857.476913</v>
      </c>
    </row>
    <row r="226" spans="1:4" x14ac:dyDescent="0.35">
      <c r="A226" t="s">
        <v>230</v>
      </c>
      <c r="B226">
        <v>3368.7027619429946</v>
      </c>
      <c r="C226">
        <v>405718851021.4928</v>
      </c>
      <c r="D226">
        <v>30123422893.991261</v>
      </c>
    </row>
    <row r="227" spans="1:4" x14ac:dyDescent="0.35">
      <c r="A227" t="s">
        <v>231</v>
      </c>
      <c r="B227">
        <v>3417.2912236919369</v>
      </c>
      <c r="C227">
        <v>411314588853.17755</v>
      </c>
      <c r="D227">
        <v>53625394443.873711</v>
      </c>
    </row>
    <row r="228" spans="1:4" x14ac:dyDescent="0.35">
      <c r="A228" t="s">
        <v>232</v>
      </c>
      <c r="B228">
        <v>3325.636532587645</v>
      </c>
      <c r="C228">
        <v>400706261382.18384</v>
      </c>
      <c r="D228">
        <v>41896722105.131493</v>
      </c>
    </row>
    <row r="229" spans="1:4" x14ac:dyDescent="0.35">
      <c r="A229" t="s">
        <v>233</v>
      </c>
      <c r="B229">
        <v>3666.1884904377557</v>
      </c>
      <c r="C229">
        <v>441632729137.70819</v>
      </c>
      <c r="D229">
        <v>48465294233.327438</v>
      </c>
    </row>
    <row r="230" spans="1:4" x14ac:dyDescent="0.35">
      <c r="A230" t="s">
        <v>234</v>
      </c>
      <c r="B230">
        <v>3579.2407862474997</v>
      </c>
      <c r="C230">
        <v>431207272220.64014</v>
      </c>
      <c r="D230">
        <v>33082767875.131531</v>
      </c>
    </row>
    <row r="231" spans="1:4" x14ac:dyDescent="0.35">
      <c r="A231" t="s">
        <v>235</v>
      </c>
      <c r="B231">
        <v>3598.1933212253616</v>
      </c>
      <c r="C231">
        <v>433361301691.36072</v>
      </c>
      <c r="D231">
        <v>28800628431.217621</v>
      </c>
    </row>
    <row r="232" spans="1:4" x14ac:dyDescent="0.35">
      <c r="A232" t="s">
        <v>236</v>
      </c>
      <c r="B232">
        <v>3709.9094391073327</v>
      </c>
      <c r="C232">
        <v>446851521665.91309</v>
      </c>
      <c r="D232">
        <v>31961998508.230377</v>
      </c>
    </row>
    <row r="233" spans="1:4" x14ac:dyDescent="0.35">
      <c r="A233" t="s">
        <v>237</v>
      </c>
      <c r="B233">
        <v>3708.8072387383017</v>
      </c>
      <c r="C233">
        <v>446664514864.58777</v>
      </c>
      <c r="D233">
        <v>29705280034.459038</v>
      </c>
    </row>
    <row r="234" spans="1:4" x14ac:dyDescent="0.35">
      <c r="A234" t="s">
        <v>238</v>
      </c>
      <c r="B234">
        <v>3643.855375704235</v>
      </c>
      <c r="C234">
        <v>438825980701.30023</v>
      </c>
      <c r="D234">
        <v>49031522663.409439</v>
      </c>
    </row>
    <row r="235" spans="1:4" x14ac:dyDescent="0.35">
      <c r="A235" t="s">
        <v>239</v>
      </c>
      <c r="B235">
        <v>3625.7104579497204</v>
      </c>
      <c r="C235">
        <v>436691206026.36835</v>
      </c>
      <c r="D235">
        <v>39557549415.349869</v>
      </c>
    </row>
    <row r="236" spans="1:4" x14ac:dyDescent="0.35">
      <c r="A236" t="s">
        <v>240</v>
      </c>
      <c r="B236">
        <v>3839.443460715871</v>
      </c>
      <c r="C236">
        <v>462490222624.56714</v>
      </c>
      <c r="D236">
        <v>59744855714.199371</v>
      </c>
    </row>
    <row r="237" spans="1:4" x14ac:dyDescent="0.35">
      <c r="A237" t="s">
        <v>241</v>
      </c>
      <c r="B237">
        <v>3796.8688671601276</v>
      </c>
      <c r="C237">
        <v>457067221118.44128</v>
      </c>
      <c r="D237">
        <v>64995601294.502495</v>
      </c>
    </row>
    <row r="238" spans="1:4" x14ac:dyDescent="0.35">
      <c r="A238" t="s">
        <v>242</v>
      </c>
      <c r="B238">
        <v>4013.7261453887122</v>
      </c>
      <c r="C238">
        <v>483422504163.83899</v>
      </c>
      <c r="D238">
        <v>55954471926.670341</v>
      </c>
    </row>
    <row r="239" spans="1:4" x14ac:dyDescent="0.35">
      <c r="A239" t="s">
        <v>243</v>
      </c>
      <c r="B239">
        <v>4000.9920765021889</v>
      </c>
      <c r="C239">
        <v>481889176555.68433</v>
      </c>
      <c r="D239">
        <v>21959792763.543846</v>
      </c>
    </row>
    <row r="240" spans="1:4" x14ac:dyDescent="0.35">
      <c r="A240" t="s">
        <v>244</v>
      </c>
      <c r="B240">
        <v>4015.7820212328807</v>
      </c>
      <c r="C240">
        <v>483642898147.50372</v>
      </c>
      <c r="D240">
        <v>20728146237.127331</v>
      </c>
    </row>
    <row r="241" spans="1:4" x14ac:dyDescent="0.35">
      <c r="A241" t="s">
        <v>245</v>
      </c>
      <c r="B241">
        <v>3713.3138979971745</v>
      </c>
      <c r="C241">
        <v>446571271919.98859</v>
      </c>
      <c r="D241">
        <v>59141397866.098267</v>
      </c>
    </row>
    <row r="242" spans="1:4" x14ac:dyDescent="0.35">
      <c r="A242" t="s">
        <v>246</v>
      </c>
      <c r="B242">
        <v>3626.5886417774996</v>
      </c>
      <c r="C242">
        <v>436749626813.98615</v>
      </c>
      <c r="D242">
        <v>63643513993.153687</v>
      </c>
    </row>
    <row r="243" spans="1:4" x14ac:dyDescent="0.35">
      <c r="A243" t="s">
        <v>247</v>
      </c>
      <c r="B243">
        <v>3828.1075883404096</v>
      </c>
      <c r="C243">
        <v>461075934206.21527</v>
      </c>
      <c r="D243">
        <v>38471623681.409088</v>
      </c>
    </row>
    <row r="244" spans="1:4" x14ac:dyDescent="0.35">
      <c r="A244" t="s">
        <v>248</v>
      </c>
      <c r="B244">
        <v>3878.8500120730541</v>
      </c>
      <c r="C244">
        <v>466883095805.38696</v>
      </c>
      <c r="D244">
        <v>47474608675.336655</v>
      </c>
    </row>
    <row r="245" spans="1:4" x14ac:dyDescent="0.35">
      <c r="A245" t="s">
        <v>249</v>
      </c>
      <c r="B245">
        <v>3907.4296595053356</v>
      </c>
      <c r="C245">
        <v>470469907671.53613</v>
      </c>
      <c r="D245">
        <v>36218321642.498573</v>
      </c>
    </row>
    <row r="246" spans="1:4" x14ac:dyDescent="0.35">
      <c r="A246" t="s">
        <v>250</v>
      </c>
      <c r="B246">
        <v>3866.9958020348054</v>
      </c>
      <c r="C246">
        <v>465713274663.64319</v>
      </c>
      <c r="D246">
        <v>28647722345.409325</v>
      </c>
    </row>
    <row r="247" spans="1:4" x14ac:dyDescent="0.35">
      <c r="A247" t="s">
        <v>251</v>
      </c>
      <c r="B247">
        <v>3961.3154661802305</v>
      </c>
      <c r="C247">
        <v>477323245356.15552</v>
      </c>
      <c r="D247">
        <v>24816850994.80954</v>
      </c>
    </row>
    <row r="248" spans="1:4" x14ac:dyDescent="0.35">
      <c r="A248" t="s">
        <v>252</v>
      </c>
      <c r="B248">
        <v>3992.857195846062</v>
      </c>
      <c r="C248">
        <v>480940541314.61334</v>
      </c>
      <c r="D248">
        <v>50679799770.943024</v>
      </c>
    </row>
    <row r="249" spans="1:4" x14ac:dyDescent="0.35">
      <c r="A249" t="s">
        <v>253</v>
      </c>
      <c r="B249">
        <v>3879.4062240100893</v>
      </c>
      <c r="C249">
        <v>467508439297.98755</v>
      </c>
      <c r="D249">
        <v>32823036037.584606</v>
      </c>
    </row>
    <row r="250" spans="1:4" x14ac:dyDescent="0.35">
      <c r="A250" t="s">
        <v>254</v>
      </c>
      <c r="B250">
        <v>3628.2624780444953</v>
      </c>
      <c r="C250">
        <v>436893612673.40179</v>
      </c>
      <c r="D250">
        <v>50734709374.831284</v>
      </c>
    </row>
    <row r="251" spans="1:4" x14ac:dyDescent="0.35">
      <c r="A251" t="s">
        <v>255</v>
      </c>
      <c r="B251">
        <v>3434.6754695380805</v>
      </c>
      <c r="C251">
        <v>413858693686.69867</v>
      </c>
      <c r="D251">
        <v>64452959600.863884</v>
      </c>
    </row>
    <row r="252" spans="1:4" x14ac:dyDescent="0.35">
      <c r="A252" t="s">
        <v>256</v>
      </c>
      <c r="B252">
        <v>3468.658920056454</v>
      </c>
      <c r="C252">
        <v>417562064054.3703</v>
      </c>
      <c r="D252">
        <v>72936574193.455399</v>
      </c>
    </row>
    <row r="253" spans="1:4" x14ac:dyDescent="0.35">
      <c r="A253" t="s">
        <v>257</v>
      </c>
      <c r="B253">
        <v>3337.5972231166807</v>
      </c>
      <c r="C253">
        <v>401314595520.45166</v>
      </c>
      <c r="D253">
        <v>32479699770.041058</v>
      </c>
    </row>
    <row r="254" spans="1:4" x14ac:dyDescent="0.35">
      <c r="A254" t="s">
        <v>258</v>
      </c>
      <c r="B254">
        <v>3275.8894274015142</v>
      </c>
      <c r="C254">
        <v>394984656581.52222</v>
      </c>
      <c r="D254">
        <v>25811397925.979923</v>
      </c>
    </row>
    <row r="255" spans="1:4" x14ac:dyDescent="0.35">
      <c r="A255" t="s">
        <v>259</v>
      </c>
      <c r="B255">
        <v>3414.6414419807993</v>
      </c>
      <c r="C255">
        <v>411423031050.55322</v>
      </c>
      <c r="D255">
        <v>35528067791.098961</v>
      </c>
    </row>
    <row r="256" spans="1:4" x14ac:dyDescent="0.35">
      <c r="A256" t="s">
        <v>260</v>
      </c>
      <c r="B256">
        <v>3497.5552879275742</v>
      </c>
      <c r="C256">
        <v>420708095541.67981</v>
      </c>
      <c r="D256">
        <v>24085249644.32143</v>
      </c>
    </row>
    <row r="257" spans="1:4" x14ac:dyDescent="0.35">
      <c r="A257" t="s">
        <v>261</v>
      </c>
      <c r="B257">
        <v>3494.5109273631047</v>
      </c>
      <c r="C257">
        <v>421029544401.60132</v>
      </c>
      <c r="D257">
        <v>17503804977.00058</v>
      </c>
    </row>
    <row r="258" spans="1:4" x14ac:dyDescent="0.35">
      <c r="A258" t="s">
        <v>262</v>
      </c>
      <c r="B258">
        <v>3327.7897761683494</v>
      </c>
      <c r="C258">
        <v>401038436756.22626</v>
      </c>
      <c r="D258">
        <v>21239977785.947948</v>
      </c>
    </row>
    <row r="259" spans="1:4" x14ac:dyDescent="0.35">
      <c r="A259" t="s">
        <v>263</v>
      </c>
      <c r="B259">
        <v>3328.6111553091764</v>
      </c>
      <c r="C259">
        <v>400705550098.4306</v>
      </c>
      <c r="D259">
        <v>24582312087.174118</v>
      </c>
    </row>
    <row r="260" spans="1:4" x14ac:dyDescent="0.35">
      <c r="A260" t="s">
        <v>264</v>
      </c>
      <c r="B260">
        <v>3397.8341205085153</v>
      </c>
      <c r="C260">
        <v>409451576910.99597</v>
      </c>
      <c r="D260">
        <v>13861298668.649797</v>
      </c>
    </row>
    <row r="261" spans="1:4" x14ac:dyDescent="0.35">
      <c r="A261" t="s">
        <v>265</v>
      </c>
      <c r="B261">
        <v>3357.3307429714632</v>
      </c>
      <c r="C261">
        <v>404459649875.75726</v>
      </c>
      <c r="D261">
        <v>11315432322.371536</v>
      </c>
    </row>
    <row r="262" spans="1:4" x14ac:dyDescent="0.35">
      <c r="A262" t="s">
        <v>266</v>
      </c>
      <c r="B262">
        <v>3359.5139417573919</v>
      </c>
      <c r="C262">
        <v>404631151447.31958</v>
      </c>
      <c r="D262">
        <v>27664137021.813133</v>
      </c>
    </row>
    <row r="263" spans="1:4" x14ac:dyDescent="0.35">
      <c r="A263" t="s">
        <v>267</v>
      </c>
      <c r="B263">
        <v>3336.6175137659498</v>
      </c>
      <c r="C263">
        <v>401972899891.29846</v>
      </c>
      <c r="D263">
        <v>21466394178.617458</v>
      </c>
    </row>
    <row r="264" spans="1:4" x14ac:dyDescent="0.35">
      <c r="A264" t="s">
        <v>268</v>
      </c>
      <c r="B264">
        <v>3348.9672471235858</v>
      </c>
      <c r="C264">
        <v>403374380145.69702</v>
      </c>
      <c r="D264">
        <v>13440599794.351009</v>
      </c>
    </row>
    <row r="265" spans="1:4" x14ac:dyDescent="0.35">
      <c r="A265" t="s">
        <v>269</v>
      </c>
      <c r="B265">
        <v>3448.140436960939</v>
      </c>
      <c r="C265">
        <v>415300548992.10608</v>
      </c>
      <c r="D265">
        <v>22683249623.051991</v>
      </c>
    </row>
    <row r="266" spans="1:4" x14ac:dyDescent="0.35">
      <c r="A266" t="s">
        <v>270</v>
      </c>
      <c r="B266">
        <v>3604.2913795931763</v>
      </c>
      <c r="C266">
        <v>434290507752.40771</v>
      </c>
      <c r="D266">
        <v>22019312215.306797</v>
      </c>
    </row>
    <row r="267" spans="1:4" x14ac:dyDescent="0.35">
      <c r="A267" t="s">
        <v>271</v>
      </c>
      <c r="B267">
        <v>3660.37804173532</v>
      </c>
      <c r="C267">
        <v>441117087325.00269</v>
      </c>
      <c r="D267">
        <v>15951962220.78043</v>
      </c>
    </row>
    <row r="268" spans="1:4" x14ac:dyDescent="0.35">
      <c r="A268" t="s">
        <v>272</v>
      </c>
      <c r="B268">
        <v>3635.8549961807084</v>
      </c>
      <c r="C268">
        <v>438092711283.22925</v>
      </c>
      <c r="D268">
        <v>12542101206.558632</v>
      </c>
    </row>
    <row r="269" spans="1:4" x14ac:dyDescent="0.35">
      <c r="A269" t="s">
        <v>273</v>
      </c>
      <c r="B269">
        <v>3687.1447140588307</v>
      </c>
      <c r="C269">
        <v>444015369643.70074</v>
      </c>
      <c r="D269">
        <v>24440100572.592861</v>
      </c>
    </row>
    <row r="270" spans="1:4" x14ac:dyDescent="0.35">
      <c r="A270" t="s">
        <v>274</v>
      </c>
      <c r="B270">
        <v>3380.0211263090155</v>
      </c>
      <c r="C270">
        <v>406968109533.22699</v>
      </c>
      <c r="D270">
        <v>32832589510.813023</v>
      </c>
    </row>
    <row r="271" spans="1:4" x14ac:dyDescent="0.35">
      <c r="A271" t="s">
        <v>275</v>
      </c>
      <c r="B271">
        <v>3325.1300293537356</v>
      </c>
      <c r="C271">
        <v>400602495132.52777</v>
      </c>
      <c r="D271">
        <v>35080974963.72023</v>
      </c>
    </row>
    <row r="272" spans="1:4" x14ac:dyDescent="0.35">
      <c r="A272" t="s">
        <v>276</v>
      </c>
      <c r="B272">
        <v>3219.09284475812</v>
      </c>
      <c r="C272">
        <v>388324291231.47101</v>
      </c>
      <c r="D272">
        <v>30096896683.041233</v>
      </c>
    </row>
    <row r="273" spans="1:4" x14ac:dyDescent="0.35">
      <c r="A273" t="s">
        <v>277</v>
      </c>
      <c r="B273">
        <v>3269.1759954060667</v>
      </c>
      <c r="C273">
        <v>394101246876.45374</v>
      </c>
      <c r="D273">
        <v>26722437003.95787</v>
      </c>
    </row>
    <row r="274" spans="1:4" x14ac:dyDescent="0.35">
      <c r="A274" t="s">
        <v>278</v>
      </c>
      <c r="B274">
        <v>3283.5913228285031</v>
      </c>
      <c r="C274">
        <v>395839071861.3172</v>
      </c>
      <c r="D274">
        <v>11047744222.743227</v>
      </c>
    </row>
    <row r="275" spans="1:4" x14ac:dyDescent="0.35">
      <c r="A275" t="s">
        <v>279</v>
      </c>
      <c r="B275">
        <v>3264.0709685336869</v>
      </c>
      <c r="C275">
        <v>393199349088.32996</v>
      </c>
      <c r="D275">
        <v>9699706283.2585411</v>
      </c>
    </row>
    <row r="276" spans="1:4" x14ac:dyDescent="0.35">
      <c r="A276" t="s">
        <v>280</v>
      </c>
      <c r="B276">
        <v>3134.5520394596483</v>
      </c>
      <c r="C276">
        <v>377643507549.01251</v>
      </c>
      <c r="D276">
        <v>41743898872.016998</v>
      </c>
    </row>
    <row r="277" spans="1:4" x14ac:dyDescent="0.35">
      <c r="A277" t="s">
        <v>281</v>
      </c>
      <c r="B277">
        <v>3224.8006483414138</v>
      </c>
      <c r="C277">
        <v>388487746270.38519</v>
      </c>
      <c r="D277">
        <v>22365842880.809456</v>
      </c>
    </row>
    <row r="278" spans="1:4" x14ac:dyDescent="0.35">
      <c r="A278" t="s">
        <v>282</v>
      </c>
      <c r="B278">
        <v>3447.0340476747956</v>
      </c>
      <c r="C278">
        <v>415058425772.0614</v>
      </c>
      <c r="D278">
        <v>23773995063.828526</v>
      </c>
    </row>
    <row r="279" spans="1:4" x14ac:dyDescent="0.35">
      <c r="A279" t="s">
        <v>283</v>
      </c>
      <c r="B279">
        <v>3309.4466139900196</v>
      </c>
      <c r="C279">
        <v>398587196539.92181</v>
      </c>
      <c r="D279">
        <v>25012556602.905136</v>
      </c>
    </row>
    <row r="280" spans="1:4" x14ac:dyDescent="0.35">
      <c r="A280" t="s">
        <v>284</v>
      </c>
      <c r="B280">
        <v>3477.2842850848092</v>
      </c>
      <c r="C280">
        <v>419024911827.79388</v>
      </c>
      <c r="D280">
        <v>27778832363.770802</v>
      </c>
    </row>
    <row r="281" spans="1:4" x14ac:dyDescent="0.35">
      <c r="A281" t="s">
        <v>285</v>
      </c>
      <c r="B281">
        <v>3309.0995676199964</v>
      </c>
      <c r="C281">
        <v>398761138447.40491</v>
      </c>
      <c r="D281">
        <v>32195594202.134895</v>
      </c>
    </row>
    <row r="282" spans="1:4" x14ac:dyDescent="0.35">
      <c r="A282" t="s">
        <v>286</v>
      </c>
      <c r="B282">
        <v>3208.1365439891497</v>
      </c>
      <c r="C282">
        <v>388676714260.87201</v>
      </c>
      <c r="D282">
        <v>59678736709.749603</v>
      </c>
    </row>
    <row r="283" spans="1:4" x14ac:dyDescent="0.35">
      <c r="A283" t="s">
        <v>287</v>
      </c>
      <c r="B283">
        <v>3263.0698698808142</v>
      </c>
      <c r="C283">
        <v>393073139255.55157</v>
      </c>
      <c r="D283">
        <v>49563768850.783386</v>
      </c>
    </row>
    <row r="284" spans="1:4" x14ac:dyDescent="0.35">
      <c r="A284" t="s">
        <v>288</v>
      </c>
      <c r="B284">
        <v>3326.0285404709143</v>
      </c>
      <c r="C284">
        <v>400135429379.41229</v>
      </c>
      <c r="D284">
        <v>33762939512.697853</v>
      </c>
    </row>
    <row r="285" spans="1:4" x14ac:dyDescent="0.35">
      <c r="A285" t="s">
        <v>289</v>
      </c>
      <c r="B285">
        <v>3237.2996671291435</v>
      </c>
      <c r="C285">
        <v>390083338462.87006</v>
      </c>
      <c r="D285">
        <v>21782301388.383984</v>
      </c>
    </row>
    <row r="286" spans="1:4" x14ac:dyDescent="0.35">
      <c r="A286" t="s">
        <v>290</v>
      </c>
      <c r="B286">
        <v>3332.580893146162</v>
      </c>
      <c r="C286">
        <v>401547418905.64948</v>
      </c>
      <c r="D286">
        <v>33863218042.431107</v>
      </c>
    </row>
    <row r="287" spans="1:4" x14ac:dyDescent="0.35">
      <c r="A287" t="s">
        <v>291</v>
      </c>
      <c r="B287">
        <v>3311.8499838686998</v>
      </c>
      <c r="C287">
        <v>398942774193.46027</v>
      </c>
      <c r="D287">
        <v>25895320216.868122</v>
      </c>
    </row>
    <row r="288" spans="1:4" x14ac:dyDescent="0.35">
      <c r="A288" t="s">
        <v>292</v>
      </c>
      <c r="B288">
        <v>3320.1314101789453</v>
      </c>
      <c r="C288">
        <v>400427749273.56543</v>
      </c>
      <c r="D288">
        <v>12706329663.414034</v>
      </c>
    </row>
    <row r="289" spans="1:4" x14ac:dyDescent="0.35">
      <c r="A289" t="s">
        <v>293</v>
      </c>
      <c r="B289">
        <v>3232.2767744705584</v>
      </c>
      <c r="C289">
        <v>390058879989.85779</v>
      </c>
      <c r="D289">
        <v>13000445022.22209</v>
      </c>
    </row>
    <row r="290" spans="1:4" x14ac:dyDescent="0.35">
      <c r="A290" t="s">
        <v>294</v>
      </c>
      <c r="B290">
        <v>3173.5346079397173</v>
      </c>
      <c r="C290">
        <v>382221069555.61029</v>
      </c>
      <c r="D290">
        <v>41151086046.076118</v>
      </c>
    </row>
    <row r="291" spans="1:4" x14ac:dyDescent="0.35">
      <c r="A291" t="s">
        <v>295</v>
      </c>
      <c r="B291">
        <v>3076.4937692857234</v>
      </c>
      <c r="C291">
        <v>370532757630.74329</v>
      </c>
      <c r="D291">
        <v>19807794444.483303</v>
      </c>
    </row>
    <row r="292" spans="1:4" x14ac:dyDescent="0.35">
      <c r="A292" t="s">
        <v>296</v>
      </c>
      <c r="B292">
        <v>3114.4358854363104</v>
      </c>
      <c r="C292">
        <v>375574817164.75665</v>
      </c>
      <c r="D292">
        <v>22051422147.78046</v>
      </c>
    </row>
    <row r="293" spans="1:4" x14ac:dyDescent="0.35">
      <c r="A293" t="s">
        <v>297</v>
      </c>
      <c r="B293">
        <v>3248.249484352305</v>
      </c>
      <c r="C293">
        <v>391509879851.78656</v>
      </c>
      <c r="D293">
        <v>19504592311.356525</v>
      </c>
    </row>
    <row r="294" spans="1:4" x14ac:dyDescent="0.35">
      <c r="A294" t="s">
        <v>298</v>
      </c>
      <c r="B294">
        <v>3296.3906348436522</v>
      </c>
      <c r="C294">
        <v>396910231325.1062</v>
      </c>
      <c r="D294">
        <v>31441846706.254246</v>
      </c>
    </row>
    <row r="295" spans="1:4" x14ac:dyDescent="0.35">
      <c r="A295" t="s">
        <v>299</v>
      </c>
      <c r="B295">
        <v>3125.0386801320924</v>
      </c>
      <c r="C295">
        <v>376840076476.98303</v>
      </c>
      <c r="D295">
        <v>18969060074.552986</v>
      </c>
    </row>
    <row r="296" spans="1:4" x14ac:dyDescent="0.35">
      <c r="A296" t="s">
        <v>300</v>
      </c>
      <c r="B296">
        <v>2862.6976188716285</v>
      </c>
      <c r="C296">
        <v>344091054313.72052</v>
      </c>
      <c r="D296">
        <v>38896518795.212379</v>
      </c>
    </row>
    <row r="297" spans="1:4" x14ac:dyDescent="0.35">
      <c r="A297" t="s">
        <v>301</v>
      </c>
      <c r="B297">
        <v>2877.8138239498767</v>
      </c>
      <c r="C297">
        <v>346820394641.11206</v>
      </c>
      <c r="D297">
        <v>96588727629.458054</v>
      </c>
    </row>
    <row r="298" spans="1:4" x14ac:dyDescent="0.35">
      <c r="A298" t="s">
        <v>302</v>
      </c>
      <c r="B298">
        <v>2740.3809762760143</v>
      </c>
      <c r="C298">
        <v>329090090858.62408</v>
      </c>
      <c r="D298">
        <v>52737830809.633667</v>
      </c>
    </row>
    <row r="299" spans="1:4" x14ac:dyDescent="0.35">
      <c r="A299" t="s">
        <v>303</v>
      </c>
      <c r="B299">
        <v>2790.5521609256075</v>
      </c>
      <c r="C299">
        <v>335828291113.45428</v>
      </c>
      <c r="D299">
        <v>30026391038.27177</v>
      </c>
    </row>
    <row r="300" spans="1:4" x14ac:dyDescent="0.35">
      <c r="A300" t="s">
        <v>304</v>
      </c>
      <c r="B300">
        <v>2686.6623167936509</v>
      </c>
      <c r="C300">
        <v>323756512126.74982</v>
      </c>
      <c r="D300">
        <v>31349967107.978249</v>
      </c>
    </row>
    <row r="301" spans="1:4" x14ac:dyDescent="0.35">
      <c r="A301" t="s">
        <v>305</v>
      </c>
      <c r="B301">
        <v>2623.4507017824767</v>
      </c>
      <c r="C301">
        <v>315636240722.98407</v>
      </c>
      <c r="D301">
        <v>30948837988.08186</v>
      </c>
    </row>
    <row r="302" spans="1:4" x14ac:dyDescent="0.35">
      <c r="A302" t="s">
        <v>306</v>
      </c>
      <c r="B302">
        <v>2635.6011418023404</v>
      </c>
      <c r="C302">
        <v>317758860998.56256</v>
      </c>
      <c r="D302">
        <v>16335613332.591795</v>
      </c>
    </row>
    <row r="303" spans="1:4" x14ac:dyDescent="0.35">
      <c r="A303" t="s">
        <v>307</v>
      </c>
      <c r="B303">
        <v>2632.5358220552475</v>
      </c>
      <c r="C303">
        <v>317369673472.60657</v>
      </c>
      <c r="D303">
        <v>17155535243.908037</v>
      </c>
    </row>
    <row r="304" spans="1:4" x14ac:dyDescent="0.35">
      <c r="A304" t="s">
        <v>308</v>
      </c>
      <c r="B304">
        <v>2660.2967996436387</v>
      </c>
      <c r="C304">
        <v>320711545303.19318</v>
      </c>
      <c r="D304">
        <v>18843420567.429211</v>
      </c>
    </row>
    <row r="305" spans="1:4" x14ac:dyDescent="0.35">
      <c r="A305" t="s">
        <v>309</v>
      </c>
      <c r="B305">
        <v>2603.0333698049267</v>
      </c>
      <c r="C305">
        <v>313943237177.06952</v>
      </c>
      <c r="D305">
        <v>21212910085.211273</v>
      </c>
    </row>
    <row r="306" spans="1:4" x14ac:dyDescent="0.35">
      <c r="A306" t="s">
        <v>310</v>
      </c>
      <c r="B306">
        <v>2736.2703136032396</v>
      </c>
      <c r="C306">
        <v>329492522913.44</v>
      </c>
      <c r="D306">
        <v>26503660438.845695</v>
      </c>
    </row>
    <row r="307" spans="1:4" x14ac:dyDescent="0.35">
      <c r="A307" t="s">
        <v>311</v>
      </c>
      <c r="B307">
        <v>2675.7090007037627</v>
      </c>
      <c r="C307">
        <v>322584072350.27649</v>
      </c>
      <c r="D307">
        <v>18938191215.296188</v>
      </c>
    </row>
    <row r="308" spans="1:4" x14ac:dyDescent="0.35">
      <c r="A308" t="s">
        <v>312</v>
      </c>
      <c r="B308">
        <v>2724.6698335873957</v>
      </c>
      <c r="C308">
        <v>328399065363.05505</v>
      </c>
      <c r="D308">
        <v>17416785872.704834</v>
      </c>
    </row>
    <row r="309" spans="1:4" x14ac:dyDescent="0.35">
      <c r="A309" t="s">
        <v>313</v>
      </c>
      <c r="B309">
        <v>2692.8213863864253</v>
      </c>
      <c r="C309">
        <v>324625278431.52954</v>
      </c>
      <c r="D309">
        <v>8896321414.5590134</v>
      </c>
    </row>
    <row r="310" spans="1:4" x14ac:dyDescent="0.35">
      <c r="A310" t="s">
        <v>314</v>
      </c>
      <c r="B310">
        <v>2659.9017474093457</v>
      </c>
      <c r="C310">
        <v>320529173059.00665</v>
      </c>
      <c r="D310">
        <v>8757895115.4774799</v>
      </c>
    </row>
    <row r="311" spans="1:4" x14ac:dyDescent="0.35">
      <c r="A311" t="s">
        <v>315</v>
      </c>
      <c r="B311">
        <v>2741.9050800956124</v>
      </c>
      <c r="C311">
        <v>330464530098.92377</v>
      </c>
      <c r="D311">
        <v>24666373348.432693</v>
      </c>
    </row>
    <row r="312" spans="1:4" x14ac:dyDescent="0.35">
      <c r="A312" t="s">
        <v>316</v>
      </c>
      <c r="B312">
        <v>2669.4945006896073</v>
      </c>
      <c r="C312">
        <v>321688672383.75238</v>
      </c>
      <c r="D312">
        <v>24353300611.506603</v>
      </c>
    </row>
    <row r="313" spans="1:4" x14ac:dyDescent="0.35">
      <c r="A313" t="s">
        <v>317</v>
      </c>
      <c r="B313">
        <v>2714.8018364720533</v>
      </c>
      <c r="C313">
        <v>327248168186.7616</v>
      </c>
      <c r="D313">
        <v>13398586820.912325</v>
      </c>
    </row>
    <row r="314" spans="1:4" x14ac:dyDescent="0.35">
      <c r="A314" t="s">
        <v>318</v>
      </c>
      <c r="B314">
        <v>2741.5933625994785</v>
      </c>
      <c r="C314">
        <v>330517520397.0965</v>
      </c>
      <c r="D314">
        <v>14550027648.522171</v>
      </c>
    </row>
    <row r="315" spans="1:4" x14ac:dyDescent="0.35">
      <c r="A315" t="s">
        <v>319</v>
      </c>
      <c r="B315">
        <v>2658.3470942919384</v>
      </c>
      <c r="C315">
        <v>320508273451.55762</v>
      </c>
      <c r="D315">
        <v>31770375573.3895</v>
      </c>
    </row>
    <row r="316" spans="1:4" x14ac:dyDescent="0.35">
      <c r="A316" t="s">
        <v>320</v>
      </c>
      <c r="B316">
        <v>2764.3552334042911</v>
      </c>
      <c r="C316">
        <v>333381856893.82196</v>
      </c>
      <c r="D316">
        <v>17576653979.146542</v>
      </c>
    </row>
    <row r="317" spans="1:4" x14ac:dyDescent="0.35">
      <c r="A317" t="s">
        <v>321</v>
      </c>
      <c r="B317">
        <v>2827.1844084879804</v>
      </c>
      <c r="C317">
        <v>340712999974.14117</v>
      </c>
      <c r="D317">
        <v>21394599890.269897</v>
      </c>
    </row>
    <row r="318" spans="1:4" x14ac:dyDescent="0.35">
      <c r="A318" t="s">
        <v>322</v>
      </c>
      <c r="B318">
        <v>2503.1034200986051</v>
      </c>
      <c r="C318">
        <v>301769340440.04999</v>
      </c>
      <c r="D318">
        <v>31014455208.756138</v>
      </c>
    </row>
    <row r="319" spans="1:4" x14ac:dyDescent="0.35">
      <c r="A319" t="s">
        <v>323</v>
      </c>
      <c r="B319">
        <v>2495.3154516930472</v>
      </c>
      <c r="C319">
        <v>301064649480.54578</v>
      </c>
      <c r="D319">
        <v>42875934003.323944</v>
      </c>
    </row>
    <row r="320" spans="1:4" x14ac:dyDescent="0.35">
      <c r="A320" t="s">
        <v>324</v>
      </c>
      <c r="B320">
        <v>2325.8539346993739</v>
      </c>
      <c r="C320">
        <v>280668025121.2334</v>
      </c>
      <c r="D320">
        <v>28109120496.698666</v>
      </c>
    </row>
    <row r="321" spans="1:4" x14ac:dyDescent="0.35">
      <c r="A321" t="s">
        <v>325</v>
      </c>
      <c r="B321">
        <v>2305.3229378029837</v>
      </c>
      <c r="C321">
        <v>277936135130.74036</v>
      </c>
      <c r="D321">
        <v>89259450649.580002</v>
      </c>
    </row>
    <row r="322" spans="1:4" x14ac:dyDescent="0.35">
      <c r="A322" t="s">
        <v>326</v>
      </c>
      <c r="B322">
        <v>2235.2042086089591</v>
      </c>
      <c r="C322">
        <v>269516471615.16159</v>
      </c>
      <c r="D322">
        <v>32905594283.006432</v>
      </c>
    </row>
    <row r="323" spans="1:4" x14ac:dyDescent="0.35">
      <c r="A323" t="s">
        <v>327</v>
      </c>
      <c r="B323">
        <v>2212.8243514969954</v>
      </c>
      <c r="C323">
        <v>266823935338.2421</v>
      </c>
      <c r="D323">
        <v>16103021679.018568</v>
      </c>
    </row>
    <row r="324" spans="1:4" x14ac:dyDescent="0.35">
      <c r="A324" t="s">
        <v>328</v>
      </c>
      <c r="B324">
        <v>2517.3382391622977</v>
      </c>
      <c r="C324">
        <v>303306117779.77039</v>
      </c>
      <c r="D324">
        <v>37907412347.334953</v>
      </c>
    </row>
    <row r="325" spans="1:4" x14ac:dyDescent="0.35">
      <c r="A325" t="s">
        <v>329</v>
      </c>
      <c r="B325">
        <v>2148.1995334702278</v>
      </c>
      <c r="C325">
        <v>259111889993.75626</v>
      </c>
      <c r="D325">
        <v>33501080617.480988</v>
      </c>
    </row>
    <row r="326" spans="1:4" x14ac:dyDescent="0.35">
      <c r="A326" t="s">
        <v>330</v>
      </c>
      <c r="B326">
        <v>2171.4969435350158</v>
      </c>
      <c r="C326">
        <v>261805780842.54889</v>
      </c>
      <c r="D326">
        <v>35524086282.765228</v>
      </c>
    </row>
    <row r="327" spans="1:4" x14ac:dyDescent="0.35">
      <c r="A327" t="s">
        <v>331</v>
      </c>
      <c r="B327">
        <v>2241.3841149187283</v>
      </c>
      <c r="C327">
        <v>270490243838.00568</v>
      </c>
      <c r="D327">
        <v>22236307931.758247</v>
      </c>
    </row>
    <row r="328" spans="1:4" x14ac:dyDescent="0.35">
      <c r="A328" t="s">
        <v>332</v>
      </c>
      <c r="B328">
        <v>2202.3207363495417</v>
      </c>
      <c r="C328">
        <v>265270135615.0983</v>
      </c>
      <c r="D328">
        <v>19895800679.328133</v>
      </c>
    </row>
    <row r="329" spans="1:4" x14ac:dyDescent="0.35">
      <c r="A329" t="s">
        <v>333</v>
      </c>
      <c r="B329">
        <v>2140.7498089428914</v>
      </c>
      <c r="C329">
        <v>257899503839.80829</v>
      </c>
      <c r="D329">
        <v>21716710066.088879</v>
      </c>
    </row>
    <row r="330" spans="1:4" x14ac:dyDescent="0.35">
      <c r="A330" t="s">
        <v>334</v>
      </c>
      <c r="B330">
        <v>2199.9995000805707</v>
      </c>
      <c r="C330">
        <v>265129957012.69815</v>
      </c>
      <c r="D330">
        <v>11257666715.795546</v>
      </c>
    </row>
    <row r="331" spans="1:4" x14ac:dyDescent="0.35">
      <c r="A331" t="s">
        <v>335</v>
      </c>
      <c r="B331">
        <v>2017.265460184326</v>
      </c>
      <c r="C331">
        <v>243298514477.01385</v>
      </c>
      <c r="D331">
        <v>17577023963.685375</v>
      </c>
    </row>
    <row r="332" spans="1:4" x14ac:dyDescent="0.35">
      <c r="A332" t="s">
        <v>336</v>
      </c>
      <c r="B332">
        <v>1879.1231054991026</v>
      </c>
      <c r="C332">
        <v>226713493940.29108</v>
      </c>
      <c r="D332">
        <v>36577317615.217651</v>
      </c>
    </row>
    <row r="333" spans="1:4" x14ac:dyDescent="0.35">
      <c r="A333" t="s">
        <v>337</v>
      </c>
      <c r="B333">
        <v>1921.3099227587034</v>
      </c>
      <c r="C333">
        <v>232024934655.6445</v>
      </c>
      <c r="D333">
        <v>30046602111.893852</v>
      </c>
    </row>
    <row r="334" spans="1:4" x14ac:dyDescent="0.35">
      <c r="A334" t="s">
        <v>338</v>
      </c>
      <c r="B334">
        <v>1910.6551381032464</v>
      </c>
      <c r="C334">
        <v>230443739229.90701</v>
      </c>
      <c r="D334">
        <v>24499314730.703812</v>
      </c>
    </row>
    <row r="335" spans="1:4" x14ac:dyDescent="0.35">
      <c r="A335" t="s">
        <v>339</v>
      </c>
      <c r="B335">
        <v>1862.7949366490388</v>
      </c>
      <c r="C335">
        <v>224658866951.8703</v>
      </c>
      <c r="D335">
        <v>19212414462.181553</v>
      </c>
    </row>
    <row r="336" spans="1:4" x14ac:dyDescent="0.35">
      <c r="A336" t="s">
        <v>340</v>
      </c>
      <c r="B336">
        <v>1910.6662703455045</v>
      </c>
      <c r="C336">
        <v>230476916425.01935</v>
      </c>
      <c r="D336">
        <v>12949972214.265629</v>
      </c>
    </row>
    <row r="337" spans="1:4" x14ac:dyDescent="0.35">
      <c r="A337" t="s">
        <v>341</v>
      </c>
      <c r="B337">
        <v>1939.7856881721348</v>
      </c>
      <c r="C337">
        <v>233970291611.36639</v>
      </c>
      <c r="D337">
        <v>6944891086.0508413</v>
      </c>
    </row>
    <row r="338" spans="1:4" x14ac:dyDescent="0.35">
      <c r="A338" t="s">
        <v>342</v>
      </c>
      <c r="B338">
        <v>1887.7643429692785</v>
      </c>
      <c r="C338">
        <v>227688957214.28125</v>
      </c>
      <c r="D338">
        <v>9486242392.1813335</v>
      </c>
    </row>
    <row r="339" spans="1:4" x14ac:dyDescent="0.35">
      <c r="A339" t="s">
        <v>343</v>
      </c>
      <c r="B339">
        <v>1929.1833577618722</v>
      </c>
      <c r="C339">
        <v>232725366276.39935</v>
      </c>
      <c r="D339">
        <v>11251166846.249075</v>
      </c>
    </row>
    <row r="340" spans="1:4" x14ac:dyDescent="0.35">
      <c r="A340" t="s">
        <v>344</v>
      </c>
      <c r="B340">
        <v>1932.7964059050657</v>
      </c>
      <c r="C340">
        <v>233152161415.72287</v>
      </c>
      <c r="D340">
        <v>10887619567.393353</v>
      </c>
    </row>
    <row r="341" spans="1:4" x14ac:dyDescent="0.35">
      <c r="A341" t="s">
        <v>345</v>
      </c>
      <c r="B341">
        <v>2060.728601068271</v>
      </c>
      <c r="C341">
        <v>248434080718.19073</v>
      </c>
      <c r="D341">
        <v>20374739988.652241</v>
      </c>
    </row>
    <row r="342" spans="1:4" x14ac:dyDescent="0.35">
      <c r="A342" t="s">
        <v>346</v>
      </c>
      <c r="B342">
        <v>1980.831780524645</v>
      </c>
      <c r="C342">
        <v>238984217654.16632</v>
      </c>
      <c r="D342">
        <v>14303790085.616615</v>
      </c>
    </row>
    <row r="343" spans="1:4" x14ac:dyDescent="0.35">
      <c r="A343" t="s">
        <v>347</v>
      </c>
      <c r="B343">
        <v>1964.5293833168294</v>
      </c>
      <c r="C343">
        <v>236980043535.89395</v>
      </c>
      <c r="D343">
        <v>9890112887.2820148</v>
      </c>
    </row>
    <row r="344" spans="1:4" x14ac:dyDescent="0.35">
      <c r="A344" t="s">
        <v>348</v>
      </c>
      <c r="B344">
        <v>1979.5449257665966</v>
      </c>
      <c r="C344">
        <v>238753335160.58411</v>
      </c>
      <c r="D344">
        <v>6195605844.5363016</v>
      </c>
    </row>
    <row r="345" spans="1:4" x14ac:dyDescent="0.35">
      <c r="A345" t="s">
        <v>349</v>
      </c>
      <c r="B345">
        <v>2001.0470230951883</v>
      </c>
      <c r="C345">
        <v>241404254258.07849</v>
      </c>
      <c r="D345">
        <v>7991413702.677865</v>
      </c>
    </row>
    <row r="346" spans="1:4" x14ac:dyDescent="0.35">
      <c r="A346" t="s">
        <v>350</v>
      </c>
      <c r="B346">
        <v>2077.7393258319771</v>
      </c>
      <c r="C346">
        <v>250648654235.62589</v>
      </c>
      <c r="D346">
        <v>15676451247.546822</v>
      </c>
    </row>
    <row r="347" spans="1:4" x14ac:dyDescent="0.35">
      <c r="A347" t="s">
        <v>351</v>
      </c>
      <c r="B347">
        <v>2068.598435049149</v>
      </c>
      <c r="C347">
        <v>249404519198.06433</v>
      </c>
      <c r="D347">
        <v>12563169733.005245</v>
      </c>
    </row>
    <row r="348" spans="1:4" x14ac:dyDescent="0.35">
      <c r="A348" t="s">
        <v>352</v>
      </c>
      <c r="B348">
        <v>2009.8835432902426</v>
      </c>
      <c r="C348">
        <v>242347645799.6622</v>
      </c>
      <c r="D348">
        <v>14024859854.906677</v>
      </c>
    </row>
    <row r="349" spans="1:4" x14ac:dyDescent="0.35">
      <c r="A349" t="s">
        <v>353</v>
      </c>
      <c r="B349">
        <v>2003.3034241292064</v>
      </c>
      <c r="C349">
        <v>241580699763.47961</v>
      </c>
      <c r="D349">
        <v>12136188059.422693</v>
      </c>
    </row>
    <row r="350" spans="1:4" x14ac:dyDescent="0.35">
      <c r="A350" t="s">
        <v>354</v>
      </c>
      <c r="B350">
        <v>1896.9173600459985</v>
      </c>
      <c r="C350">
        <v>228784244898.24844</v>
      </c>
      <c r="D350">
        <v>18419487648.397388</v>
      </c>
    </row>
    <row r="351" spans="1:4" x14ac:dyDescent="0.35">
      <c r="A351" t="s">
        <v>355</v>
      </c>
      <c r="B351">
        <v>1829.2745211803463</v>
      </c>
      <c r="C351">
        <v>220262156018.88525</v>
      </c>
      <c r="D351">
        <v>12924117064.878807</v>
      </c>
    </row>
    <row r="352" spans="1:4" x14ac:dyDescent="0.35">
      <c r="A352" t="s">
        <v>356</v>
      </c>
      <c r="B352">
        <v>1805.3378779435934</v>
      </c>
      <c r="C352">
        <v>217784813538.97607</v>
      </c>
      <c r="D352">
        <v>10056531345.160347</v>
      </c>
    </row>
    <row r="353" spans="1:6" x14ac:dyDescent="0.35">
      <c r="A353" t="s">
        <v>357</v>
      </c>
      <c r="B353">
        <v>1824.2071367609847</v>
      </c>
      <c r="C353">
        <v>219908040559.44638</v>
      </c>
      <c r="D353">
        <v>17022367813.888769</v>
      </c>
    </row>
    <row r="354" spans="1:6" x14ac:dyDescent="0.35">
      <c r="A354" t="s">
        <v>358</v>
      </c>
      <c r="B354">
        <v>1907.1671522994227</v>
      </c>
      <c r="C354">
        <v>230031614721.63394</v>
      </c>
      <c r="D354">
        <v>15899367803.5509</v>
      </c>
    </row>
    <row r="355" spans="1:6" x14ac:dyDescent="0.35">
      <c r="A355" t="s">
        <v>359</v>
      </c>
      <c r="B355">
        <v>1795.7618505674791</v>
      </c>
      <c r="C355">
        <v>216667567217.00522</v>
      </c>
      <c r="D355">
        <v>23450470660.978283</v>
      </c>
    </row>
    <row r="356" spans="1:6" x14ac:dyDescent="0.35">
      <c r="A356" t="s">
        <v>360</v>
      </c>
      <c r="B356">
        <v>1818.2844199542053</v>
      </c>
      <c r="C356">
        <v>219762279056.2319</v>
      </c>
      <c r="D356">
        <v>16999031833.158594</v>
      </c>
    </row>
    <row r="357" spans="1:6" x14ac:dyDescent="0.35">
      <c r="A357" t="s">
        <v>361</v>
      </c>
      <c r="B357">
        <v>1814.4807753449506</v>
      </c>
      <c r="C357">
        <v>218925876283.93597</v>
      </c>
      <c r="D357">
        <v>19459233591.298603</v>
      </c>
    </row>
    <row r="358" spans="1:6" x14ac:dyDescent="0.35">
      <c r="A358" t="s">
        <v>362</v>
      </c>
      <c r="B358">
        <v>1809.935827172196</v>
      </c>
      <c r="C358">
        <v>217957146409.92859</v>
      </c>
      <c r="D358">
        <v>6780827627.5455294</v>
      </c>
    </row>
    <row r="359" spans="1:6" x14ac:dyDescent="0.35">
      <c r="A359" t="s">
        <v>363</v>
      </c>
      <c r="B359">
        <v>1574.6321611455576</v>
      </c>
      <c r="C359">
        <v>190295586491.21872</v>
      </c>
      <c r="D359">
        <v>23485484227.161697</v>
      </c>
    </row>
    <row r="360" spans="1:6" x14ac:dyDescent="0.35">
      <c r="A360" t="s">
        <v>364</v>
      </c>
      <c r="B360">
        <v>1555.9098125708731</v>
      </c>
      <c r="C360">
        <v>188565143892.71408</v>
      </c>
      <c r="D360">
        <v>49416724296.56089</v>
      </c>
    </row>
    <row r="361" spans="1:6" x14ac:dyDescent="0.35">
      <c r="A361" t="s">
        <v>365</v>
      </c>
      <c r="B361">
        <v>1471.3608854365523</v>
      </c>
      <c r="C361">
        <v>177496121145.53159</v>
      </c>
      <c r="D361">
        <v>22451028357.384758</v>
      </c>
    </row>
    <row r="362" spans="1:6" x14ac:dyDescent="0.35">
      <c r="A362" t="s">
        <v>366</v>
      </c>
      <c r="B362">
        <v>1662.5331604641576</v>
      </c>
      <c r="C362">
        <v>200623016236.85327</v>
      </c>
      <c r="D362">
        <v>41589589714.849937</v>
      </c>
    </row>
    <row r="363" spans="1:6" x14ac:dyDescent="0.35">
      <c r="A363" t="s">
        <v>367</v>
      </c>
      <c r="B363">
        <v>1523.928624242526</v>
      </c>
      <c r="C363">
        <v>183947227079.42554</v>
      </c>
      <c r="D363">
        <v>20486375929.105679</v>
      </c>
    </row>
    <row r="364" spans="1:6" x14ac:dyDescent="0.35">
      <c r="A364" t="s">
        <v>368</v>
      </c>
      <c r="B364">
        <v>1568.1316901259361</v>
      </c>
      <c r="C364">
        <v>189185664203.67542</v>
      </c>
      <c r="D364">
        <v>14195085224.783228</v>
      </c>
    </row>
    <row r="366" spans="1:6" x14ac:dyDescent="0.35">
      <c r="E366" t="s">
        <v>376</v>
      </c>
      <c r="F366">
        <f>AVERAGE(B2:B364)</f>
        <v>2930.2081806271658</v>
      </c>
    </row>
    <row r="367" spans="1:6" x14ac:dyDescent="0.35">
      <c r="E367" t="s">
        <v>375</v>
      </c>
      <c r="F367">
        <f>SUM(D2:D364)</f>
        <v>7725606078447.7061</v>
      </c>
    </row>
    <row r="368" spans="1:6" x14ac:dyDescent="0.35">
      <c r="E368" t="s">
        <v>377</v>
      </c>
      <c r="F368">
        <f>(B364-B2)/B2</f>
        <v>-0.5033917876463333</v>
      </c>
    </row>
    <row r="369" spans="5:6" x14ac:dyDescent="0.35">
      <c r="E369" t="s">
        <v>378</v>
      </c>
      <c r="F369">
        <f>MAX(B2:B364)</f>
        <v>4015.7820212328807</v>
      </c>
    </row>
    <row r="370" spans="5:6" x14ac:dyDescent="0.35">
      <c r="E370" t="s">
        <v>379</v>
      </c>
      <c r="F370">
        <f>MIN(B2:B364)</f>
        <v>1471.3608854365523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177A-9016-4738-B0DB-5BEFB7144F03}">
  <dimension ref="A1:H10"/>
  <sheetViews>
    <sheetView showGridLines="0" topLeftCell="A3" zoomScale="80" zoomScaleNormal="80" workbookViewId="0">
      <selection activeCell="M10" sqref="M10"/>
    </sheetView>
  </sheetViews>
  <sheetFormatPr defaultRowHeight="14.5" x14ac:dyDescent="0.35"/>
  <cols>
    <col min="1" max="1" width="13.1796875" bestFit="1" customWidth="1"/>
    <col min="2" max="2" width="11.81640625" bestFit="1" customWidth="1"/>
    <col min="3" max="3" width="14.54296875" bestFit="1" customWidth="1"/>
    <col min="4" max="4" width="13.81640625" bestFit="1" customWidth="1"/>
    <col min="5" max="5" width="11.81640625" bestFit="1" customWidth="1"/>
    <col min="8" max="8" width="24.26953125" customWidth="1"/>
  </cols>
  <sheetData>
    <row r="1" spans="1:8" ht="20" customHeight="1" x14ac:dyDescent="0.35">
      <c r="A1" s="10" t="s">
        <v>386</v>
      </c>
      <c r="B1" s="10"/>
      <c r="C1" s="10"/>
      <c r="D1" s="10"/>
      <c r="E1" s="10"/>
      <c r="F1" s="10"/>
      <c r="G1" s="8"/>
    </row>
    <row r="2" spans="1:8" ht="20" customHeight="1" x14ac:dyDescent="0.35">
      <c r="A2" s="10"/>
      <c r="B2" s="10"/>
      <c r="C2" s="10"/>
      <c r="D2" s="10"/>
      <c r="E2" s="10"/>
      <c r="F2" s="10"/>
      <c r="G2" s="8"/>
    </row>
    <row r="3" spans="1:8" ht="20" customHeight="1" x14ac:dyDescent="0.35">
      <c r="A3" s="10"/>
      <c r="B3" s="10"/>
      <c r="C3" s="10"/>
      <c r="D3" s="10"/>
      <c r="E3" s="10"/>
      <c r="F3" s="10"/>
      <c r="G3" s="8"/>
    </row>
    <row r="4" spans="1:8" ht="20" customHeight="1" x14ac:dyDescent="0.35"/>
    <row r="5" spans="1:8" ht="20" customHeight="1" x14ac:dyDescent="0.35"/>
    <row r="6" spans="1:8" ht="17.5" thickBot="1" x14ac:dyDescent="0.45">
      <c r="A6" s="2" t="s">
        <v>372</v>
      </c>
      <c r="B6" s="2" t="s">
        <v>380</v>
      </c>
      <c r="C6" s="2" t="s">
        <v>381</v>
      </c>
      <c r="D6" s="2" t="s">
        <v>375</v>
      </c>
      <c r="E6" s="2" t="s">
        <v>382</v>
      </c>
      <c r="F6" s="2" t="s">
        <v>383</v>
      </c>
      <c r="G6" s="2"/>
      <c r="H6" s="9"/>
    </row>
    <row r="7" spans="1:8" ht="50" customHeight="1" thickTop="1" x14ac:dyDescent="0.35">
      <c r="A7" s="3" t="s">
        <v>374</v>
      </c>
      <c r="B7">
        <f>Tesla!I252</f>
        <v>267.07755999999989</v>
      </c>
      <c r="C7">
        <f>Tesla!I254</f>
        <v>0.56248451820658918</v>
      </c>
      <c r="D7">
        <f>Tesla!I253</f>
        <v>24013127097</v>
      </c>
      <c r="E7">
        <f>Tesla!I255</f>
        <v>479.86</v>
      </c>
      <c r="F7">
        <f>Tesla!I256</f>
        <v>142.05000000000001</v>
      </c>
      <c r="H7" s="4"/>
    </row>
    <row r="8" spans="1:8" ht="50" customHeight="1" x14ac:dyDescent="0.35">
      <c r="A8" s="3" t="s">
        <v>373</v>
      </c>
      <c r="B8">
        <f>Apple!I252</f>
        <v>220.40015999999991</v>
      </c>
      <c r="C8">
        <f>Apple!I254</f>
        <v>0.14743181423359783</v>
      </c>
      <c r="D8">
        <f>Apple!I253</f>
        <v>14207452338</v>
      </c>
      <c r="E8">
        <f>Apple!I255</f>
        <v>259.02</v>
      </c>
      <c r="F8">
        <f>Apple!I256</f>
        <v>165</v>
      </c>
      <c r="H8" s="4"/>
    </row>
    <row r="9" spans="1:8" ht="50" customHeight="1" x14ac:dyDescent="0.35">
      <c r="A9" s="3" t="s">
        <v>384</v>
      </c>
      <c r="B9">
        <f>'btc-usd-max'!F366</f>
        <v>76265.766642280811</v>
      </c>
      <c r="C9">
        <f>'btc-usd-max'!F368</f>
        <v>0.26898726409591139</v>
      </c>
      <c r="D9">
        <f>'btc-usd-max'!F367</f>
        <v>15269189008061</v>
      </c>
      <c r="E9">
        <f>'btc-usd-max'!F369</f>
        <v>106182.2368201815</v>
      </c>
      <c r="F9">
        <f>'btc-usd-max'!F370</f>
        <v>53923.356110719047</v>
      </c>
      <c r="H9" s="4"/>
    </row>
    <row r="10" spans="1:8" ht="50" customHeight="1" x14ac:dyDescent="0.35">
      <c r="A10" s="5" t="s">
        <v>385</v>
      </c>
      <c r="B10" s="6">
        <f>'eth-usd-max'!F366</f>
        <v>2930.2081806271658</v>
      </c>
      <c r="C10" s="6">
        <f>'eth-usd-max'!F368</f>
        <v>-0.5033917876463333</v>
      </c>
      <c r="D10" s="6">
        <f>'eth-usd-max'!F367</f>
        <v>7725606078447.7061</v>
      </c>
      <c r="E10" s="6">
        <f>'eth-usd-max'!F369</f>
        <v>4015.7820212328807</v>
      </c>
      <c r="F10" s="6">
        <f>'eth-usd-max'!F370</f>
        <v>1471.3608854365523</v>
      </c>
      <c r="G10" s="6"/>
      <c r="H10" s="7"/>
    </row>
  </sheetData>
  <mergeCells count="1">
    <mergeCell ref="A1:F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139AF8A-83FE-46CF-BB2E-FB3D22A5053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C7:C10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EB393F4-62DE-439D-BA6B-9C9ECBBA5F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Tesla!E2:E251</xm:f>
              <xm:sqref>H7</xm:sqref>
            </x14:sparkline>
          </x14:sparklines>
        </x14:sparklineGroup>
        <x14:sparklineGroup displayEmptyCellsAs="gap" xr2:uid="{B7E72981-D23A-4E83-B0FF-4B75F09299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Apple!E2:E251</xm:f>
              <xm:sqref>H8</xm:sqref>
            </x14:sparkline>
          </x14:sparklines>
        </x14:sparklineGroup>
        <x14:sparklineGroup displayEmptyCellsAs="gap" xr2:uid="{72A5CEC7-CB33-4E8C-BC11-AEA13B4A57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'btc-usd-max'!B2:B364</xm:f>
              <xm:sqref>H9</xm:sqref>
            </x14:sparkline>
          </x14:sparklines>
        </x14:sparklineGroup>
        <x14:sparklineGroup displayEmptyCellsAs="gap" high="1" xr2:uid="{30BB7C83-ECB0-4FA0-99C5-FB7460BCD8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92D050"/>
          <x14:colorLow rgb="FFD00000"/>
          <x14:sparklines>
            <x14:sparkline>
              <xm:f>'eth-usd-max'!B2:B364</xm:f>
              <xm:sqref>H10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6C2ACC-21F7-40D1-BD58-56A8F0157A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Tesla</vt:lpstr>
      <vt:lpstr>Apple</vt:lpstr>
      <vt:lpstr>btc-usd-max</vt:lpstr>
      <vt:lpstr>eth-usd-max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Mackey</dc:creator>
  <cp:lastModifiedBy>Heather Mackey</cp:lastModifiedBy>
  <dcterms:created xsi:type="dcterms:W3CDTF">2025-04-12T22:25:01Z</dcterms:created>
  <dcterms:modified xsi:type="dcterms:W3CDTF">2025-04-13T20:43:13Z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eb1141-2f16-40d4-a274-ec9d11a62334_Enabled">
    <vt:lpwstr>true</vt:lpwstr>
  </property>
  <property fmtid="{D5CDD505-2E9C-101B-9397-08002B2CF9AE}" pid="3" name="MSIP_Label_aaeb1141-2f16-40d4-a274-ec9d11a62334_SetDate">
    <vt:lpwstr>2025-04-12T23:21:11Z</vt:lpwstr>
  </property>
  <property fmtid="{D5CDD505-2E9C-101B-9397-08002B2CF9AE}" pid="4" name="MSIP_Label_aaeb1141-2f16-40d4-a274-ec9d11a62334_Method">
    <vt:lpwstr>Standard</vt:lpwstr>
  </property>
  <property fmtid="{D5CDD505-2E9C-101B-9397-08002B2CF9AE}" pid="5" name="MSIP_Label_aaeb1141-2f16-40d4-a274-ec9d11a62334_Name">
    <vt:lpwstr>Internal</vt:lpwstr>
  </property>
  <property fmtid="{D5CDD505-2E9C-101B-9397-08002B2CF9AE}" pid="6" name="MSIP_Label_aaeb1141-2f16-40d4-a274-ec9d11a62334_SiteId">
    <vt:lpwstr>257a113f-cf57-4475-ba30-da14c34fee37</vt:lpwstr>
  </property>
  <property fmtid="{D5CDD505-2E9C-101B-9397-08002B2CF9AE}" pid="7" name="MSIP_Label_aaeb1141-2f16-40d4-a274-ec9d11a62334_ActionId">
    <vt:lpwstr>af5644d6-d88e-44b2-a037-a93fd7b1acab</vt:lpwstr>
  </property>
  <property fmtid="{D5CDD505-2E9C-101B-9397-08002B2CF9AE}" pid="8" name="MSIP_Label_aaeb1141-2f16-40d4-a274-ec9d11a62334_ContentBits">
    <vt:lpwstr>0</vt:lpwstr>
  </property>
  <property fmtid="{D5CDD505-2E9C-101B-9397-08002B2CF9AE}" pid="9" name="MSIP_Label_aaeb1141-2f16-40d4-a274-ec9d11a62334_Tag">
    <vt:lpwstr>10, 3, 0, 1</vt:lpwstr>
  </property>
</Properties>
</file>